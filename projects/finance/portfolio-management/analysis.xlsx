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 hoc\kì 2 năm nhất\assignment\assignment 1\Equity Investment and Portfolio Management\"/>
    </mc:Choice>
  </mc:AlternateContent>
  <xr:revisionPtr revIDLastSave="0" documentId="13_ncr:1_{3C42B4AF-BA49-4D3D-A09A-6F16E8CE9726}" xr6:coauthVersionLast="47" xr6:coauthVersionMax="47" xr10:uidLastSave="{00000000-0000-0000-0000-000000000000}"/>
  <bookViews>
    <workbookView xWindow="-110" yWindow="-110" windowWidth="25820" windowHeight="15500" activeTab="1" xr2:uid="{594A458D-B343-4619-8CB6-DEF6AE2A81B6}"/>
  </bookViews>
  <sheets>
    <sheet name="Question 1 data" sheetId="1" r:id="rId1"/>
    <sheet name="Question 2 data" sheetId="2" r:id="rId2"/>
  </sheets>
  <definedNames>
    <definedName name="solver_adj" localSheetId="1" hidden="1">'Question 2 data'!$D$40:$E$40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'Question 2 data'!$H$40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'Question 2 data'!$C$40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hs1" localSheetId="1" hidden="1">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M2" i="1"/>
  <c r="G2" i="1"/>
  <c r="N2" i="1"/>
  <c r="H40" i="2"/>
  <c r="I46" i="2"/>
  <c r="H46" i="2"/>
  <c r="C3" i="2" l="1"/>
  <c r="C53" i="2" s="1"/>
  <c r="D19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25" i="2"/>
  <c r="C9" i="2" l="1"/>
  <c r="C10" i="2"/>
  <c r="C11" i="2"/>
  <c r="L61" i="1" l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F3" i="1"/>
  <c r="F4" i="1"/>
  <c r="F5" i="1"/>
  <c r="F12" i="1"/>
  <c r="F13" i="1"/>
  <c r="F14" i="1"/>
  <c r="F15" i="1"/>
  <c r="F16" i="1"/>
  <c r="F17" i="1"/>
  <c r="F18" i="1"/>
  <c r="F19" i="1"/>
  <c r="F20" i="1"/>
  <c r="F21" i="1"/>
  <c r="F28" i="1"/>
  <c r="F29" i="1"/>
  <c r="F30" i="1"/>
  <c r="F31" i="1"/>
  <c r="F32" i="1"/>
  <c r="F33" i="1"/>
  <c r="F34" i="1"/>
  <c r="F35" i="1"/>
  <c r="F36" i="1"/>
  <c r="F37" i="1"/>
  <c r="F44" i="1"/>
  <c r="F45" i="1"/>
  <c r="F46" i="1"/>
  <c r="F47" i="1"/>
  <c r="F48" i="1"/>
  <c r="F49" i="1"/>
  <c r="F50" i="1"/>
  <c r="F51" i="1"/>
  <c r="F52" i="1"/>
  <c r="F53" i="1"/>
  <c r="F60" i="1"/>
  <c r="F61" i="1"/>
  <c r="F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E2" i="1"/>
  <c r="E3" i="1"/>
  <c r="E4" i="1"/>
  <c r="E5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E13" i="1"/>
  <c r="E14" i="1"/>
  <c r="E15" i="1"/>
  <c r="E16" i="1"/>
  <c r="E17" i="1"/>
  <c r="E18" i="1"/>
  <c r="E19" i="1"/>
  <c r="E20" i="1"/>
  <c r="E21" i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E29" i="1"/>
  <c r="E30" i="1"/>
  <c r="E31" i="1"/>
  <c r="E32" i="1"/>
  <c r="E33" i="1"/>
  <c r="E34" i="1"/>
  <c r="E35" i="1"/>
  <c r="E36" i="1"/>
  <c r="E37" i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E45" i="1"/>
  <c r="E46" i="1"/>
  <c r="E47" i="1"/>
  <c r="E48" i="1"/>
  <c r="E49" i="1"/>
  <c r="E50" i="1"/>
  <c r="E51" i="1"/>
  <c r="E52" i="1"/>
  <c r="E53" i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E61" i="1"/>
  <c r="E11" i="2" l="1"/>
  <c r="D11" i="2"/>
  <c r="B11" i="2"/>
  <c r="E10" i="2"/>
  <c r="D10" i="2"/>
  <c r="B10" i="2"/>
  <c r="E9" i="2"/>
  <c r="D9" i="2"/>
  <c r="B9" i="2"/>
  <c r="E8" i="2"/>
  <c r="D8" i="2"/>
  <c r="C8" i="2"/>
  <c r="B8" i="2"/>
  <c r="C14" i="2" l="1"/>
  <c r="D14" i="2"/>
  <c r="J9" i="2" s="1"/>
  <c r="O9" i="2" s="1"/>
  <c r="E14" i="2"/>
  <c r="K11" i="2" s="1"/>
  <c r="P11" i="2" s="1"/>
  <c r="G40" i="2" l="1"/>
  <c r="Q40" i="2"/>
  <c r="Q28" i="2"/>
  <c r="Q45" i="2"/>
  <c r="Q36" i="2"/>
  <c r="Q38" i="2"/>
  <c r="Q25" i="2"/>
  <c r="Q41" i="2"/>
  <c r="Q43" i="2"/>
  <c r="Q29" i="2"/>
  <c r="Q31" i="2"/>
  <c r="Q33" i="2"/>
  <c r="Q37" i="2"/>
  <c r="Q39" i="2"/>
  <c r="Q26" i="2"/>
  <c r="Q42" i="2"/>
  <c r="Q27" i="2"/>
  <c r="Q44" i="2"/>
  <c r="Q30" i="2"/>
  <c r="Q32" i="2"/>
  <c r="Q35" i="2"/>
  <c r="Q34" i="2"/>
  <c r="C20" i="2"/>
  <c r="G46" i="2"/>
  <c r="Q58" i="2"/>
  <c r="Q74" i="2"/>
  <c r="Q106" i="2"/>
  <c r="Q120" i="2"/>
  <c r="Q138" i="2"/>
  <c r="Q152" i="2"/>
  <c r="Q107" i="2"/>
  <c r="Q173" i="2"/>
  <c r="Q50" i="2"/>
  <c r="Q108" i="2"/>
  <c r="Q64" i="2"/>
  <c r="Q95" i="2"/>
  <c r="Q126" i="2"/>
  <c r="Q56" i="2"/>
  <c r="Q69" i="2"/>
  <c r="Q131" i="2"/>
  <c r="Q115" i="2"/>
  <c r="Q154" i="2"/>
  <c r="Q99" i="2"/>
  <c r="Q109" i="2"/>
  <c r="Q167" i="2"/>
  <c r="Q62" i="2"/>
  <c r="Q88" i="2"/>
  <c r="Q164" i="2"/>
  <c r="Q148" i="2"/>
  <c r="Q140" i="2"/>
  <c r="Q132" i="2"/>
  <c r="Q116" i="2"/>
  <c r="Q100" i="2"/>
  <c r="Q165" i="2"/>
  <c r="Q52" i="2"/>
  <c r="Q82" i="2"/>
  <c r="Q172" i="2"/>
  <c r="Q93" i="2"/>
  <c r="Q75" i="2"/>
  <c r="Q48" i="2"/>
  <c r="Q79" i="2"/>
  <c r="Q110" i="2"/>
  <c r="Q53" i="2"/>
  <c r="Q78" i="2"/>
  <c r="Q67" i="2"/>
  <c r="Q125" i="2"/>
  <c r="Q87" i="2"/>
  <c r="Q145" i="2"/>
  <c r="Q70" i="2"/>
  <c r="Q149" i="2"/>
  <c r="Q114" i="2"/>
  <c r="Q174" i="2"/>
  <c r="Q117" i="2"/>
  <c r="Q142" i="2"/>
  <c r="Q147" i="2"/>
  <c r="Q59" i="2"/>
  <c r="Q86" i="2"/>
  <c r="Q124" i="2"/>
  <c r="Q63" i="2"/>
  <c r="Q94" i="2"/>
  <c r="Q119" i="2"/>
  <c r="Q103" i="2"/>
  <c r="Q150" i="2"/>
  <c r="Q139" i="2"/>
  <c r="Q118" i="2"/>
  <c r="Q89" i="2"/>
  <c r="Q104" i="2"/>
  <c r="Q134" i="2"/>
  <c r="Q123" i="2"/>
  <c r="Q169" i="2"/>
  <c r="Q47" i="2"/>
  <c r="Q83" i="2"/>
  <c r="Q170" i="2"/>
  <c r="Q51" i="2"/>
  <c r="Q136" i="2"/>
  <c r="Q102" i="2"/>
  <c r="Q151" i="2"/>
  <c r="Q97" i="2"/>
  <c r="Q112" i="2"/>
  <c r="Q90" i="2"/>
  <c r="Q80" i="2"/>
  <c r="Q85" i="2"/>
  <c r="Q54" i="2"/>
  <c r="Q73" i="2"/>
  <c r="Q156" i="2"/>
  <c r="Q84" i="2"/>
  <c r="Q72" i="2"/>
  <c r="Q159" i="2"/>
  <c r="Q98" i="2"/>
  <c r="Q166" i="2"/>
  <c r="Q91" i="2"/>
  <c r="Q57" i="2"/>
  <c r="Q46" i="2"/>
  <c r="Q113" i="2"/>
  <c r="Q128" i="2"/>
  <c r="Q77" i="2"/>
  <c r="Q137" i="2"/>
  <c r="Q157" i="2"/>
  <c r="Q161" i="2"/>
  <c r="Q71" i="2"/>
  <c r="Q155" i="2"/>
  <c r="Q55" i="2"/>
  <c r="Q162" i="2"/>
  <c r="Q135" i="2"/>
  <c r="Q168" i="2"/>
  <c r="Q65" i="2"/>
  <c r="Q143" i="2"/>
  <c r="Q127" i="2"/>
  <c r="Q92" i="2"/>
  <c r="Q141" i="2"/>
  <c r="Q68" i="2"/>
  <c r="Q105" i="2"/>
  <c r="Q163" i="2"/>
  <c r="Q171" i="2"/>
  <c r="Q153" i="2"/>
  <c r="Q129" i="2"/>
  <c r="Q122" i="2"/>
  <c r="Q146" i="2"/>
  <c r="Q49" i="2"/>
  <c r="Q158" i="2"/>
  <c r="Q66" i="2"/>
  <c r="Q76" i="2"/>
  <c r="Q60" i="2"/>
  <c r="Q160" i="2"/>
  <c r="Q121" i="2"/>
  <c r="Q61" i="2"/>
  <c r="Q130" i="2"/>
  <c r="Q81" i="2"/>
  <c r="Q144" i="2"/>
  <c r="Q175" i="2"/>
  <c r="Q133" i="2"/>
  <c r="Q101" i="2"/>
  <c r="Q111" i="2"/>
  <c r="Q96" i="2"/>
  <c r="K8" i="2"/>
  <c r="P8" i="2" s="1"/>
  <c r="J10" i="2"/>
  <c r="O10" i="2" s="1"/>
  <c r="I10" i="2"/>
  <c r="I8" i="2"/>
  <c r="I11" i="2"/>
  <c r="I9" i="2"/>
  <c r="R9" i="2" s="1"/>
  <c r="J8" i="2"/>
  <c r="O8" i="2" s="1"/>
  <c r="K9" i="2"/>
  <c r="P9" i="2" s="1"/>
  <c r="J11" i="2"/>
  <c r="K10" i="2"/>
  <c r="P10" i="2" s="1"/>
  <c r="R8" i="2" l="1"/>
  <c r="E15" i="2"/>
  <c r="R11" i="2"/>
  <c r="N10" i="2"/>
  <c r="R10" i="2"/>
  <c r="N8" i="2"/>
  <c r="O11" i="2"/>
  <c r="D15" i="2" s="1"/>
  <c r="N11" i="2"/>
  <c r="N9" i="2"/>
  <c r="C15" i="2" l="1"/>
  <c r="C16" i="2"/>
  <c r="P53" i="2" s="1"/>
  <c r="P143" i="2"/>
  <c r="P76" i="2"/>
  <c r="P44" i="2"/>
  <c r="P45" i="2"/>
  <c r="P171" i="2"/>
  <c r="P83" i="2"/>
  <c r="P154" i="2"/>
  <c r="P54" i="2"/>
  <c r="P55" i="2"/>
  <c r="P70" i="2"/>
  <c r="P149" i="2"/>
  <c r="P167" i="2"/>
  <c r="P58" i="2"/>
  <c r="P119" i="2"/>
  <c r="P81" i="2"/>
  <c r="P134" i="2"/>
  <c r="P153" i="2"/>
  <c r="P64" i="2"/>
  <c r="P170" i="2"/>
  <c r="P43" i="2"/>
  <c r="P112" i="2"/>
  <c r="P71" i="2" l="1"/>
  <c r="P104" i="2"/>
  <c r="C17" i="2"/>
  <c r="P50" i="2"/>
  <c r="P156" i="2"/>
  <c r="P100" i="2"/>
  <c r="P141" i="2"/>
  <c r="P101" i="2"/>
  <c r="P148" i="2"/>
  <c r="P87" i="2"/>
  <c r="P120" i="2"/>
  <c r="P93" i="2"/>
  <c r="P152" i="2"/>
  <c r="P47" i="2"/>
  <c r="P107" i="2"/>
  <c r="P69" i="2"/>
  <c r="P162" i="2"/>
  <c r="P37" i="2"/>
  <c r="P42" i="2"/>
  <c r="P125" i="2"/>
  <c r="P163" i="2"/>
  <c r="P110" i="2"/>
  <c r="P99" i="2"/>
  <c r="P147" i="2"/>
  <c r="P137" i="2"/>
  <c r="P136" i="2"/>
  <c r="P175" i="2"/>
  <c r="P116" i="2"/>
  <c r="P52" i="2"/>
  <c r="P174" i="2"/>
  <c r="P59" i="2"/>
  <c r="P105" i="2"/>
  <c r="P155" i="2"/>
  <c r="P96" i="2"/>
  <c r="P145" i="2"/>
  <c r="P82" i="2"/>
  <c r="P73" i="2"/>
  <c r="P173" i="2"/>
  <c r="P123" i="2"/>
  <c r="P151" i="2"/>
  <c r="P128" i="2"/>
  <c r="P49" i="2"/>
  <c r="P161" i="2"/>
  <c r="P146" i="2"/>
  <c r="P48" i="2"/>
  <c r="P79" i="2"/>
  <c r="P115" i="2"/>
  <c r="P75" i="2"/>
  <c r="P150" i="2"/>
  <c r="P131" i="2"/>
  <c r="P114" i="2"/>
  <c r="P95" i="2"/>
  <c r="P89" i="2"/>
  <c r="P109" i="2"/>
  <c r="P84" i="2"/>
  <c r="P103" i="2"/>
  <c r="P164" i="2"/>
  <c r="P61" i="2"/>
  <c r="P63" i="2"/>
  <c r="P66" i="2"/>
  <c r="P80" i="2"/>
  <c r="P172" i="2"/>
  <c r="P85" i="2"/>
  <c r="P166" i="2"/>
  <c r="P38" i="2"/>
  <c r="P133" i="2"/>
  <c r="P74" i="2"/>
  <c r="P127" i="2"/>
  <c r="P122" i="2"/>
  <c r="P65" i="2"/>
  <c r="P56" i="2"/>
  <c r="P111" i="2"/>
  <c r="P169" i="2"/>
  <c r="P39" i="2"/>
  <c r="P102" i="2"/>
  <c r="P118" i="2"/>
  <c r="P121" i="2"/>
  <c r="P113" i="2"/>
  <c r="P72" i="2"/>
  <c r="P117" i="2"/>
  <c r="P165" i="2"/>
  <c r="P130" i="2"/>
  <c r="P46" i="2"/>
  <c r="P77" i="2"/>
  <c r="P91" i="2"/>
  <c r="P129" i="2"/>
  <c r="P157" i="2"/>
  <c r="P68" i="2"/>
  <c r="P67" i="2"/>
  <c r="P86" i="2"/>
  <c r="P41" i="2"/>
  <c r="P57" i="2"/>
  <c r="P106" i="2"/>
  <c r="P78" i="2"/>
  <c r="P135" i="2"/>
  <c r="P144" i="2"/>
  <c r="P88" i="2"/>
  <c r="P168" i="2"/>
  <c r="P159" i="2"/>
  <c r="P139" i="2"/>
  <c r="P97" i="2"/>
  <c r="P158" i="2"/>
  <c r="P51" i="2"/>
  <c r="P138" i="2"/>
  <c r="P132" i="2"/>
  <c r="P90" i="2"/>
  <c r="P160" i="2"/>
  <c r="P25" i="2"/>
  <c r="P126" i="2"/>
  <c r="P92" i="2"/>
  <c r="P40" i="2"/>
  <c r="P124" i="2"/>
  <c r="P36" i="2"/>
  <c r="P26" i="2"/>
  <c r="P27" i="2"/>
  <c r="P28" i="2"/>
  <c r="P29" i="2"/>
  <c r="P30" i="2"/>
  <c r="P33" i="2"/>
  <c r="P31" i="2"/>
  <c r="P32" i="2"/>
  <c r="P34" i="2"/>
  <c r="P35" i="2"/>
  <c r="C40" i="2"/>
  <c r="P62" i="2"/>
  <c r="F40" i="2"/>
  <c r="P108" i="2"/>
  <c r="P140" i="2"/>
  <c r="P142" i="2"/>
  <c r="P98" i="2"/>
  <c r="P94" i="2"/>
  <c r="P60" i="2"/>
  <c r="C21" i="2"/>
  <c r="F46" i="2"/>
  <c r="C46" i="2" l="1"/>
  <c r="C56" i="2"/>
  <c r="C54" i="2"/>
  <c r="C60" i="2" l="1"/>
  <c r="C59" i="2"/>
  <c r="C57" i="2"/>
  <c r="C61" i="2" s="1"/>
</calcChain>
</file>

<file path=xl/sharedStrings.xml><?xml version="1.0" encoding="utf-8"?>
<sst xmlns="http://schemas.openxmlformats.org/spreadsheetml/2006/main" count="81" uniqueCount="54">
  <si>
    <t>Exchange Date</t>
  </si>
  <si>
    <t>the last digit of student number (from 0 to 9)</t>
  </si>
  <si>
    <t>risk free rate</t>
  </si>
  <si>
    <t>probability</t>
  </si>
  <si>
    <t>Equity</t>
  </si>
  <si>
    <t>Bond</t>
  </si>
  <si>
    <t>Cash</t>
  </si>
  <si>
    <t>recession</t>
  </si>
  <si>
    <t>slow growth</t>
  </si>
  <si>
    <t>good growth</t>
  </si>
  <si>
    <t>high growth</t>
  </si>
  <si>
    <t>URTH.K (iShares MSCI World ETF)</t>
  </si>
  <si>
    <t>AGG (iShares Core US Aggregate Bond ETF)</t>
  </si>
  <si>
    <t>client risk tolerance</t>
  </si>
  <si>
    <t>HPR</t>
  </si>
  <si>
    <t xml:space="preserve">HPY </t>
  </si>
  <si>
    <t>AM</t>
  </si>
  <si>
    <t>GM</t>
  </si>
  <si>
    <t xml:space="preserve">URTH.K </t>
  </si>
  <si>
    <t>AGG</t>
  </si>
  <si>
    <t>a. Expected rate of return (HPY)</t>
  </si>
  <si>
    <t xml:space="preserve">b. Standard deviation of the returns </t>
  </si>
  <si>
    <t>b. Covariance between Equity &amp; Bond returns</t>
  </si>
  <si>
    <t>b. Correlation between Equity &amp; Bond returns</t>
  </si>
  <si>
    <t>(R-E(R))</t>
  </si>
  <si>
    <t>(R-E(R))^2</t>
  </si>
  <si>
    <t>c. Expected rate of return of Portfolio H</t>
  </si>
  <si>
    <t>c. The expected risk of Portfolio H</t>
  </si>
  <si>
    <t>(R1-E(R1))*(R2-E(R2))</t>
  </si>
  <si>
    <t>Question 2</t>
  </si>
  <si>
    <t>Question 3</t>
  </si>
  <si>
    <t>c. Weights in Portfolio H</t>
  </si>
  <si>
    <t>E(r)p</t>
  </si>
  <si>
    <t>SD(p)</t>
  </si>
  <si>
    <t>a.Table of possible portfolios</t>
  </si>
  <si>
    <t>Variance</t>
  </si>
  <si>
    <t>b. The portfolio with the minimum variance (risk)</t>
  </si>
  <si>
    <t>Sharpe's ratio</t>
  </si>
  <si>
    <t>Risk free rate</t>
  </si>
  <si>
    <t>Question 4</t>
  </si>
  <si>
    <t>Sum</t>
  </si>
  <si>
    <t xml:space="preserve">a. The expected return and risk of portfolio C </t>
  </si>
  <si>
    <t xml:space="preserve">b. The weight in each asset </t>
  </si>
  <si>
    <t xml:space="preserve">Weight in risk-free asset = </t>
  </si>
  <si>
    <t>Weight in Equity =</t>
  </si>
  <si>
    <t>Weight in Bond =</t>
  </si>
  <si>
    <t>Return (%)=</t>
  </si>
  <si>
    <t>Risk (%)=</t>
  </si>
  <si>
    <t xml:space="preserve">Weight in Portfolio O = </t>
  </si>
  <si>
    <t>Use solver to calculate the minimum variance</t>
  </si>
  <si>
    <t>Use solver to calculate the maximum of sharpe's ratio:</t>
  </si>
  <si>
    <t xml:space="preserve">b. The portfolio (O) with the best return-risk relationship </t>
  </si>
  <si>
    <t>Therefore, we have 95.56$ left to invest in O, so we allocate 42.05%*95.56$ or 40.18$ to Equity and 57.95%*95.56$ or 55.38$ to Bond</t>
  </si>
  <si>
    <t xml:space="preserve">For a 100$ investment in C, we invest 4.44$ at the risk free rate of 1.25%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</si>
</sst>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yy"/>
    <numFmt numFmtId="165" formatCode="#,##0.00;\-#,##0.00;#,##0.00;&quot;--&quot;"/>
    <numFmt numFmtId="166" formatCode="_(* #,##0.000000_);_(* \(#,##0.000000\);_(* &quot;-&quot;??_);_(@_)"/>
    <numFmt numFmtId="167" formatCode="0.0000000000000%"/>
    <numFmt numFmtId="168" formatCode="0.0000000%"/>
    <numFmt numFmtId="169" formatCode="0.000%"/>
    <numFmt numFmtId="170" formatCode="0.000000000000000%"/>
    <numFmt numFmtId="171" formatCode="_(* #,##0.0000_);_(* \(#,##0.0000\);_(* &quot;-&quot;??_);_(@_)"/>
    <numFmt numFmtId="173" formatCode="_(* #,##0.00000_);_(* \(#,##0.00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Border="0" applyAlignment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10" fontId="6" fillId="0" borderId="0" xfId="1" applyNumberFormat="1" applyFont="1" applyAlignment="1">
      <alignment horizontal="right" vertical="center"/>
    </xf>
    <xf numFmtId="0" fontId="7" fillId="0" borderId="0" xfId="0" applyFont="1"/>
    <xf numFmtId="0" fontId="8" fillId="0" borderId="1" xfId="0" applyFont="1" applyBorder="1" applyAlignment="1">
      <alignment horizontal="right"/>
    </xf>
    <xf numFmtId="164" fontId="3" fillId="0" borderId="3" xfId="0" applyNumberFormat="1" applyFont="1" applyBorder="1"/>
    <xf numFmtId="165" fontId="3" fillId="0" borderId="3" xfId="0" applyNumberFormat="1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0" fontId="9" fillId="0" borderId="1" xfId="0" applyFont="1" applyBorder="1"/>
    <xf numFmtId="0" fontId="10" fillId="0" borderId="1" xfId="0" applyFont="1" applyBorder="1"/>
    <xf numFmtId="10" fontId="10" fillId="0" borderId="1" xfId="0" applyNumberFormat="1" applyFont="1" applyBorder="1"/>
    <xf numFmtId="10" fontId="11" fillId="0" borderId="1" xfId="1" applyNumberFormat="1" applyFont="1" applyBorder="1" applyAlignment="1">
      <alignment horizontal="right" vertical="center"/>
    </xf>
    <xf numFmtId="0" fontId="9" fillId="2" borderId="1" xfId="0" applyFont="1" applyFill="1" applyBorder="1"/>
    <xf numFmtId="0" fontId="8" fillId="0" borderId="0" xfId="0" applyFont="1" applyAlignment="1">
      <alignment horizontal="right"/>
    </xf>
    <xf numFmtId="9" fontId="0" fillId="0" borderId="0" xfId="1" applyFont="1"/>
    <xf numFmtId="10" fontId="0" fillId="0" borderId="0" xfId="1" applyNumberFormat="1" applyFont="1"/>
    <xf numFmtId="0" fontId="9" fillId="0" borderId="0" xfId="0" applyFont="1"/>
    <xf numFmtId="10" fontId="0" fillId="0" borderId="0" xfId="0" applyNumberFormat="1"/>
    <xf numFmtId="0" fontId="12" fillId="0" borderId="0" xfId="0" applyFont="1"/>
    <xf numFmtId="0" fontId="10" fillId="0" borderId="4" xfId="0" applyFont="1" applyBorder="1"/>
    <xf numFmtId="166" fontId="12" fillId="0" borderId="0" xfId="0" applyNumberFormat="1" applyFont="1"/>
    <xf numFmtId="167" fontId="0" fillId="0" borderId="0" xfId="0" applyNumberFormat="1"/>
    <xf numFmtId="0" fontId="10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0" fontId="8" fillId="0" borderId="5" xfId="0" applyFont="1" applyBorder="1" applyAlignment="1">
      <alignment horizontal="right"/>
    </xf>
    <xf numFmtId="168" fontId="0" fillId="0" borderId="0" xfId="0" applyNumberFormat="1"/>
    <xf numFmtId="43" fontId="0" fillId="0" borderId="0" xfId="3" applyFont="1"/>
    <xf numFmtId="10" fontId="0" fillId="0" borderId="0" xfId="4" applyNumberFormat="1" applyFont="1"/>
    <xf numFmtId="169" fontId="0" fillId="0" borderId="0" xfId="1" applyNumberFormat="1" applyFont="1"/>
    <xf numFmtId="0" fontId="13" fillId="0" borderId="0" xfId="0" applyFont="1"/>
    <xf numFmtId="170" fontId="0" fillId="0" borderId="0" xfId="0" applyNumberFormat="1"/>
    <xf numFmtId="0" fontId="14" fillId="0" borderId="0" xfId="2" applyFont="1" applyAlignment="1">
      <alignment horizontal="left" indent="1"/>
    </xf>
    <xf numFmtId="0" fontId="14" fillId="0" borderId="0" xfId="2" applyFont="1"/>
    <xf numFmtId="0" fontId="2" fillId="0" borderId="0" xfId="2"/>
    <xf numFmtId="171" fontId="0" fillId="0" borderId="0" xfId="3" applyNumberFormat="1" applyFont="1"/>
    <xf numFmtId="173" fontId="0" fillId="0" borderId="0" xfId="3" applyNumberFormat="1" applyFont="1"/>
  </cellXfs>
  <cellStyles count="5">
    <cellStyle name="Comma" xfId="3" builtinId="3"/>
    <cellStyle name="Currency" xfId="4" builtinId="4"/>
    <cellStyle name="Normal" xfId="0" builtinId="0"/>
    <cellStyle name="Normal 2" xfId="2" xr:uid="{D799ECBC-DDB6-46DA-86E2-EF54DEF7E43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portfolio</a:t>
            </a:r>
            <a:r>
              <a:rPr lang="en-US" baseline="0"/>
              <a:t>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 data'!$P$25:$P$175</c:f>
              <c:numCache>
                <c:formatCode>0.00%</c:formatCode>
                <c:ptCount val="151"/>
                <c:pt idx="0">
                  <c:v>0.10600430743017004</c:v>
                </c:pt>
                <c:pt idx="1">
                  <c:v>0.10389912573952441</c:v>
                </c:pt>
                <c:pt idx="2">
                  <c:v>0.10179934193795166</c:v>
                </c:pt>
                <c:pt idx="3">
                  <c:v>9.9705297063082371E-2</c:v>
                </c:pt>
                <c:pt idx="4">
                  <c:v>9.761736044244386E-2</c:v>
                </c:pt>
                <c:pt idx="5">
                  <c:v>9.5535932564336762E-2</c:v>
                </c:pt>
                <c:pt idx="6">
                  <c:v>9.3461448287515861E-2</c:v>
                </c:pt>
                <c:pt idx="7">
                  <c:v>9.1394380434124622E-2</c:v>
                </c:pt>
                <c:pt idx="8">
                  <c:v>8.9335243816480406E-2</c:v>
                </c:pt>
                <c:pt idx="9">
                  <c:v>8.7284599755268977E-2</c:v>
                </c:pt>
                <c:pt idx="10">
                  <c:v>8.5243061154559679E-2</c:v>
                </c:pt>
                <c:pt idx="11">
                  <c:v>8.3211298207860579E-2</c:v>
                </c:pt>
                <c:pt idx="12">
                  <c:v>8.1190044819238763E-2</c:v>
                </c:pt>
                <c:pt idx="13">
                  <c:v>7.9180105834341374E-2</c:v>
                </c:pt>
                <c:pt idx="14">
                  <c:v>7.7182365187910648E-2</c:v>
                </c:pt>
                <c:pt idx="15">
                  <c:v>7.519779508694055E-2</c:v>
                </c:pt>
                <c:pt idx="16">
                  <c:v>7.3227466361673349E-2</c:v>
                </c:pt>
                <c:pt idx="17">
                  <c:v>7.1272560129670551E-2</c:v>
                </c:pt>
                <c:pt idx="18">
                  <c:v>6.9334380930386921E-2</c:v>
                </c:pt>
                <c:pt idx="19">
                  <c:v>6.7414371497756337E-2</c:v>
                </c:pt>
                <c:pt idx="20">
                  <c:v>6.5514129344363584E-2</c:v>
                </c:pt>
                <c:pt idx="21">
                  <c:v>6.3635425330058878E-2</c:v>
                </c:pt>
                <c:pt idx="22">
                  <c:v>6.1780224376413527E-2</c:v>
                </c:pt>
                <c:pt idx="23">
                  <c:v>5.9950708460680437E-2</c:v>
                </c:pt>
                <c:pt idx="24">
                  <c:v>5.8149301971304884E-2</c:v>
                </c:pt>
                <c:pt idx="25">
                  <c:v>5.6378699421301852E-2</c:v>
                </c:pt>
                <c:pt idx="26">
                  <c:v>5.4641895382572525E-2</c:v>
                </c:pt>
                <c:pt idx="27">
                  <c:v>5.2942216306436404E-2</c:v>
                </c:pt>
                <c:pt idx="28">
                  <c:v>5.1283353612551513E-2</c:v>
                </c:pt>
                <c:pt idx="29">
                  <c:v>4.9669397036178044E-2</c:v>
                </c:pt>
                <c:pt idx="30">
                  <c:v>4.8104866697663687E-2</c:v>
                </c:pt>
                <c:pt idx="31">
                  <c:v>4.6594741676904854E-2</c:v>
                </c:pt>
                <c:pt idx="32">
                  <c:v>4.5144482029922488E-2</c:v>
                </c:pt>
                <c:pt idx="33">
                  <c:v>4.3760040190080882E-2</c:v>
                </c:pt>
                <c:pt idx="34">
                  <c:v>4.2447856612554596E-2</c:v>
                </c:pt>
                <c:pt idx="35">
                  <c:v>4.1214833475794799E-2</c:v>
                </c:pt>
                <c:pt idx="36">
                  <c:v>4.0068279470798294E-2</c:v>
                </c:pt>
                <c:pt idx="37">
                  <c:v>3.9015818521946924E-2</c:v>
                </c:pt>
                <c:pt idx="38">
                  <c:v>3.8065256126814599E-2</c:v>
                </c:pt>
                <c:pt idx="39">
                  <c:v>3.7224399349586525E-2</c:v>
                </c:pt>
                <c:pt idx="40">
                  <c:v>3.6500830726847823E-2</c:v>
                </c:pt>
                <c:pt idx="41">
                  <c:v>3.5901642503338174E-2</c:v>
                </c:pt>
                <c:pt idx="42">
                  <c:v>3.5433145203326202E-2</c:v>
                </c:pt>
                <c:pt idx="43">
                  <c:v>3.5100572323503491E-2</c:v>
                </c:pt>
                <c:pt idx="44">
                  <c:v>3.4907809008157473E-2</c:v>
                </c:pt>
                <c:pt idx="45">
                  <c:v>3.4857174812906171E-2</c:v>
                </c:pt>
                <c:pt idx="46">
                  <c:v>3.4949287489160638E-2</c:v>
                </c:pt>
                <c:pt idx="47">
                  <c:v>3.518302587807793E-2</c:v>
                </c:pt>
                <c:pt idx="48">
                  <c:v>3.5555596996113027E-2</c:v>
                </c:pt>
                <c:pt idx="49">
                  <c:v>3.60626981718992E-2</c:v>
                </c:pt>
                <c:pt idx="50">
                  <c:v>3.6698753044211191E-2</c:v>
                </c:pt>
                <c:pt idx="51">
                  <c:v>3.7457192959930941E-2</c:v>
                </c:pt>
                <c:pt idx="52">
                  <c:v>3.8330753811397972E-2</c:v>
                </c:pt>
                <c:pt idx="53">
                  <c:v>3.9311761915964805E-2</c:v>
                </c:pt>
                <c:pt idx="54">
                  <c:v>4.0392389332645336E-2</c:v>
                </c:pt>
                <c:pt idx="55">
                  <c:v>4.1564866906288779E-2</c:v>
                </c:pt>
                <c:pt idx="56">
                  <c:v>4.2821650595814269E-2</c:v>
                </c:pt>
                <c:pt idx="57">
                  <c:v>4.4155542261844094E-2</c:v>
                </c:pt>
                <c:pt idx="58">
                  <c:v>4.5559769742613936E-2</c:v>
                </c:pt>
                <c:pt idx="59">
                  <c:v>4.7028032910568354E-2</c:v>
                </c:pt>
                <c:pt idx="60">
                  <c:v>4.8554522896945458E-2</c:v>
                </c:pt>
                <c:pt idx="61">
                  <c:v>5.0133921270308593E-2</c:v>
                </c:pt>
                <c:pt idx="62">
                  <c:v>5.1761385066475957E-2</c:v>
                </c:pt>
                <c:pt idx="63">
                  <c:v>5.3432522492743134E-2</c:v>
                </c:pt>
                <c:pt idx="64">
                  <c:v>5.5143363061659567E-2</c:v>
                </c:pt>
                <c:pt idx="65">
                  <c:v>5.6890324954578173E-2</c:v>
                </c:pt>
                <c:pt idx="66">
                  <c:v>5.8670181617240628E-2</c:v>
                </c:pt>
                <c:pt idx="67">
                  <c:v>6.0480028955329543E-2</c:v>
                </c:pt>
                <c:pt idx="68">
                  <c:v>6.2317254013234576E-2</c:v>
                </c:pt>
                <c:pt idx="69">
                  <c:v>6.4179505661367472E-2</c:v>
                </c:pt>
                <c:pt idx="70">
                  <c:v>6.6064667561412896E-2</c:v>
                </c:pt>
                <c:pt idx="71">
                  <c:v>6.7970833501859465E-2</c:v>
                </c:pt>
                <c:pt idx="72">
                  <c:v>6.9896285078321588E-2</c:v>
                </c:pt>
                <c:pt idx="73">
                  <c:v>7.1839471618585157E-2</c:v>
                </c:pt>
                <c:pt idx="74">
                  <c:v>7.3798992208566103E-2</c:v>
                </c:pt>
                <c:pt idx="75">
                  <c:v>7.5773579653052564E-2</c:v>
                </c:pt>
                <c:pt idx="76">
                  <c:v>7.7762086197259397E-2</c:v>
                </c:pt>
                <c:pt idx="77">
                  <c:v>7.9763470836827929E-2</c:v>
                </c:pt>
                <c:pt idx="78">
                  <c:v>8.1776788051378002E-2</c:v>
                </c:pt>
                <c:pt idx="79">
                  <c:v>8.3801177807579175E-2</c:v>
                </c:pt>
                <c:pt idx="80">
                  <c:v>8.5835856690255036E-2</c:v>
                </c:pt>
                <c:pt idx="81">
                  <c:v>8.7880110033144027E-2</c:v>
                </c:pt>
                <c:pt idx="82">
                  <c:v>8.9933284933888635E-2</c:v>
                </c:pt>
                <c:pt idx="83">
                  <c:v>9.1994784050170489E-2</c:v>
                </c:pt>
                <c:pt idx="84">
                  <c:v>9.4064060085401385E-2</c:v>
                </c:pt>
                <c:pt idx="85">
                  <c:v>9.6140610882901614E-2</c:v>
                </c:pt>
                <c:pt idx="86">
                  <c:v>9.8223975057009388E-2</c:v>
                </c:pt>
                <c:pt idx="87">
                  <c:v>0.10031372809808985</c:v>
                </c:pt>
                <c:pt idx="88">
                  <c:v>0.10240947889599868</c:v>
                </c:pt>
                <c:pt idx="89">
                  <c:v>0.10451086663327168</c:v>
                </c:pt>
                <c:pt idx="90">
                  <c:v>0.10661755800523666</c:v>
                </c:pt>
                <c:pt idx="91">
                  <c:v>0.108729244729454</c:v>
                </c:pt>
                <c:pt idx="92">
                  <c:v>0.1108456413114652</c:v>
                </c:pt>
                <c:pt idx="93">
                  <c:v>0.11296648303783517</c:v>
                </c:pt>
                <c:pt idx="94">
                  <c:v>0.11509152417098316</c:v>
                </c:pt>
                <c:pt idx="95">
                  <c:v>0.11722053632336571</c:v>
                </c:pt>
                <c:pt idx="96">
                  <c:v>0.11935330699126021</c:v>
                </c:pt>
                <c:pt idx="97">
                  <c:v>0.12148963823074584</c:v>
                </c:pt>
                <c:pt idx="98">
                  <c:v>0.12362934546053377</c:v>
                </c:pt>
                <c:pt idx="99">
                  <c:v>0.12577225637809597</c:v>
                </c:pt>
                <c:pt idx="100">
                  <c:v>0.12791820997711781</c:v>
                </c:pt>
                <c:pt idx="101">
                  <c:v>0.13006705565567903</c:v>
                </c:pt>
                <c:pt idx="102">
                  <c:v>0.13221865240577824</c:v>
                </c:pt>
                <c:pt idx="103">
                  <c:v>0.13437286807587873</c:v>
                </c:pt>
                <c:pt idx="104">
                  <c:v>0.1365295786990863</c:v>
                </c:pt>
                <c:pt idx="105">
                  <c:v>0.13868866788039139</c:v>
                </c:pt>
                <c:pt idx="106">
                  <c:v>0.14085002623712928</c:v>
                </c:pt>
                <c:pt idx="107">
                  <c:v>0.14301355088745088</c:v>
                </c:pt>
                <c:pt idx="108">
                  <c:v>0.14517914498215645</c:v>
                </c:pt>
                <c:pt idx="109">
                  <c:v>0.1473467172757422</c:v>
                </c:pt>
                <c:pt idx="110">
                  <c:v>0.14951618173294826</c:v>
                </c:pt>
                <c:pt idx="111">
                  <c:v>0.15168745716748466</c:v>
                </c:pt>
                <c:pt idx="112">
                  <c:v>0.15386046690995708</c:v>
                </c:pt>
                <c:pt idx="113">
                  <c:v>0.15603513850231782</c:v>
                </c:pt>
                <c:pt idx="114">
                  <c:v>0.15821140341644152</c:v>
                </c:pt>
                <c:pt idx="115">
                  <c:v>0.16038919679466415</c:v>
                </c:pt>
                <c:pt idx="116">
                  <c:v>0.16256845721033958</c:v>
                </c:pt>
                <c:pt idx="117">
                  <c:v>0.16474912644665982</c:v>
                </c:pt>
                <c:pt idx="118">
                  <c:v>0.1669311492921558</c:v>
                </c:pt>
                <c:pt idx="119">
                  <c:v>0.16911447335144764</c:v>
                </c:pt>
                <c:pt idx="120">
                  <c:v>0.1712990488699514</c:v>
                </c:pt>
                <c:pt idx="121">
                  <c:v>0.17348482857136963</c:v>
                </c:pt>
                <c:pt idx="122">
                  <c:v>0.17567176750690477</c:v>
                </c:pt>
                <c:pt idx="123">
                  <c:v>0.1778598229152315</c:v>
                </c:pt>
                <c:pt idx="124">
                  <c:v>0.18004895409235236</c:v>
                </c:pt>
                <c:pt idx="125">
                  <c:v>0.18223912227054187</c:v>
                </c:pt>
                <c:pt idx="126">
                  <c:v>0.18443029050565418</c:v>
                </c:pt>
                <c:pt idx="127">
                  <c:v>0.18662242357213538</c:v>
                </c:pt>
                <c:pt idx="128">
                  <c:v>0.18881548786513783</c:v>
                </c:pt>
                <c:pt idx="129">
                  <c:v>0.19100945130918917</c:v>
                </c:pt>
                <c:pt idx="130">
                  <c:v>0.193204283272913</c:v>
                </c:pt>
                <c:pt idx="131">
                  <c:v>0.1953999544893435</c:v>
                </c:pt>
                <c:pt idx="132">
                  <c:v>0.19759643698141424</c:v>
                </c:pt>
                <c:pt idx="133">
                  <c:v>0.1997937039922367</c:v>
                </c:pt>
                <c:pt idx="134">
                  <c:v>0.20199172991981626</c:v>
                </c:pt>
                <c:pt idx="135">
                  <c:v>0.20419049025588212</c:v>
                </c:pt>
                <c:pt idx="136">
                  <c:v>0.20638996152853464</c:v>
                </c:pt>
                <c:pt idx="137">
                  <c:v>0.20859012124843668</c:v>
                </c:pt>
                <c:pt idx="138">
                  <c:v>0.21079094785829872</c:v>
                </c:pt>
                <c:pt idx="139">
                  <c:v>0.21299242068542609</c:v>
                </c:pt>
                <c:pt idx="140">
                  <c:v>0.21519451989711541</c:v>
                </c:pt>
                <c:pt idx="141">
                  <c:v>0.2173972264587051</c:v>
                </c:pt>
                <c:pt idx="142">
                  <c:v>0.21960052209409706</c:v>
                </c:pt>
                <c:pt idx="143">
                  <c:v>0.22180438924858434</c:v>
                </c:pt>
                <c:pt idx="144">
                  <c:v>0.22400881105382886</c:v>
                </c:pt>
                <c:pt idx="145">
                  <c:v>0.22621377129484738</c:v>
                </c:pt>
                <c:pt idx="146">
                  <c:v>0.22841925437887237</c:v>
                </c:pt>
                <c:pt idx="147">
                  <c:v>0.23062524530596712</c:v>
                </c:pt>
                <c:pt idx="148">
                  <c:v>0.23283172964127977</c:v>
                </c:pt>
                <c:pt idx="149">
                  <c:v>0.2350386934888328</c:v>
                </c:pt>
                <c:pt idx="150">
                  <c:v>0.2372461234667492</c:v>
                </c:pt>
              </c:numCache>
            </c:numRef>
          </c:xVal>
          <c:yVal>
            <c:numRef>
              <c:f>'Question 2 data'!$Q$25:$Q$175</c:f>
              <c:numCache>
                <c:formatCode>0.00%</c:formatCode>
                <c:ptCount val="151"/>
                <c:pt idx="0">
                  <c:v>2.2925000000000029E-3</c:v>
                </c:pt>
                <c:pt idx="1">
                  <c:v>2.5797500000000022E-3</c:v>
                </c:pt>
                <c:pt idx="2">
                  <c:v>2.867000000000005E-3</c:v>
                </c:pt>
                <c:pt idx="3">
                  <c:v>3.1542500000000043E-3</c:v>
                </c:pt>
                <c:pt idx="4">
                  <c:v>3.4414999999999966E-3</c:v>
                </c:pt>
                <c:pt idx="5">
                  <c:v>3.7287500000000029E-3</c:v>
                </c:pt>
                <c:pt idx="6">
                  <c:v>4.0159999999999987E-3</c:v>
                </c:pt>
                <c:pt idx="7">
                  <c:v>4.3032500000000015E-3</c:v>
                </c:pt>
                <c:pt idx="8">
                  <c:v>4.5905000000000008E-3</c:v>
                </c:pt>
                <c:pt idx="9">
                  <c:v>4.8777500000000001E-3</c:v>
                </c:pt>
                <c:pt idx="10">
                  <c:v>5.1650000000000029E-3</c:v>
                </c:pt>
                <c:pt idx="11">
                  <c:v>5.4522500000000022E-3</c:v>
                </c:pt>
                <c:pt idx="12">
                  <c:v>5.739500000000005E-3</c:v>
                </c:pt>
                <c:pt idx="13">
                  <c:v>6.0267500000000009E-3</c:v>
                </c:pt>
                <c:pt idx="14">
                  <c:v>6.3140000000000036E-3</c:v>
                </c:pt>
                <c:pt idx="15">
                  <c:v>6.6012500000000029E-3</c:v>
                </c:pt>
                <c:pt idx="16">
                  <c:v>6.8885000000000057E-3</c:v>
                </c:pt>
                <c:pt idx="17">
                  <c:v>7.175750000000005E-3</c:v>
                </c:pt>
                <c:pt idx="18">
                  <c:v>7.4630000000000044E-3</c:v>
                </c:pt>
                <c:pt idx="19">
                  <c:v>7.7502500000000071E-3</c:v>
                </c:pt>
                <c:pt idx="20">
                  <c:v>8.037500000000003E-3</c:v>
                </c:pt>
                <c:pt idx="21">
                  <c:v>8.3247500000000058E-3</c:v>
                </c:pt>
                <c:pt idx="22">
                  <c:v>8.6120000000000016E-3</c:v>
                </c:pt>
                <c:pt idx="23">
                  <c:v>8.8992500000000044E-3</c:v>
                </c:pt>
                <c:pt idx="24">
                  <c:v>9.1865000000000002E-3</c:v>
                </c:pt>
                <c:pt idx="25">
                  <c:v>9.473750000000003E-3</c:v>
                </c:pt>
                <c:pt idx="26">
                  <c:v>9.761000000000004E-3</c:v>
                </c:pt>
                <c:pt idx="27">
                  <c:v>1.004825E-2</c:v>
                </c:pt>
                <c:pt idx="28">
                  <c:v>1.0335500000000001E-2</c:v>
                </c:pt>
                <c:pt idx="29">
                  <c:v>1.0622750000000019E-2</c:v>
                </c:pt>
                <c:pt idx="30">
                  <c:v>1.0910000000000015E-2</c:v>
                </c:pt>
                <c:pt idx="31">
                  <c:v>1.1197250000000018E-2</c:v>
                </c:pt>
                <c:pt idx="32">
                  <c:v>1.1484500000000019E-2</c:v>
                </c:pt>
                <c:pt idx="33">
                  <c:v>1.1771750000000015E-2</c:v>
                </c:pt>
                <c:pt idx="34">
                  <c:v>1.2059000000000016E-2</c:v>
                </c:pt>
                <c:pt idx="35">
                  <c:v>1.2346250000000017E-2</c:v>
                </c:pt>
                <c:pt idx="36">
                  <c:v>1.2633500000000016E-2</c:v>
                </c:pt>
                <c:pt idx="37">
                  <c:v>1.2920750000000014E-2</c:v>
                </c:pt>
                <c:pt idx="38">
                  <c:v>1.3208000000000015E-2</c:v>
                </c:pt>
                <c:pt idx="39">
                  <c:v>1.3495250000000019E-2</c:v>
                </c:pt>
                <c:pt idx="40">
                  <c:v>1.378250000000002E-2</c:v>
                </c:pt>
                <c:pt idx="41">
                  <c:v>1.4069750000000018E-2</c:v>
                </c:pt>
                <c:pt idx="42">
                  <c:v>1.4357000000000019E-2</c:v>
                </c:pt>
                <c:pt idx="43">
                  <c:v>1.4644250000000018E-2</c:v>
                </c:pt>
                <c:pt idx="44">
                  <c:v>1.4931500000000016E-2</c:v>
                </c:pt>
                <c:pt idx="45">
                  <c:v>1.5218750000000017E-2</c:v>
                </c:pt>
                <c:pt idx="46">
                  <c:v>1.5506000000000018E-2</c:v>
                </c:pt>
                <c:pt idx="47">
                  <c:v>1.5793250000000019E-2</c:v>
                </c:pt>
                <c:pt idx="48">
                  <c:v>1.6080500000000015E-2</c:v>
                </c:pt>
                <c:pt idx="49">
                  <c:v>1.6367750000000018E-2</c:v>
                </c:pt>
                <c:pt idx="50">
                  <c:v>1.6655000000000003E-2</c:v>
                </c:pt>
                <c:pt idx="51">
                  <c:v>1.6942250000000002E-2</c:v>
                </c:pt>
                <c:pt idx="52">
                  <c:v>1.7229500000000002E-2</c:v>
                </c:pt>
                <c:pt idx="53">
                  <c:v>1.7516750000000005E-2</c:v>
                </c:pt>
                <c:pt idx="54">
                  <c:v>1.7804000000000007E-2</c:v>
                </c:pt>
                <c:pt idx="55">
                  <c:v>1.8091250000000003E-2</c:v>
                </c:pt>
                <c:pt idx="56">
                  <c:v>1.8378500000000002E-2</c:v>
                </c:pt>
                <c:pt idx="57">
                  <c:v>1.8665750000000002E-2</c:v>
                </c:pt>
                <c:pt idx="58">
                  <c:v>1.8953000000000005E-2</c:v>
                </c:pt>
                <c:pt idx="59">
                  <c:v>1.9240250000000004E-2</c:v>
                </c:pt>
                <c:pt idx="60">
                  <c:v>1.9527500000000003E-2</c:v>
                </c:pt>
                <c:pt idx="61">
                  <c:v>1.9814750000000006E-2</c:v>
                </c:pt>
                <c:pt idx="62">
                  <c:v>2.0102000000000002E-2</c:v>
                </c:pt>
                <c:pt idx="63">
                  <c:v>2.0389250000000005E-2</c:v>
                </c:pt>
                <c:pt idx="64">
                  <c:v>2.0676500000000004E-2</c:v>
                </c:pt>
                <c:pt idx="65">
                  <c:v>2.0963750000000003E-2</c:v>
                </c:pt>
                <c:pt idx="66">
                  <c:v>2.1251000000000003E-2</c:v>
                </c:pt>
                <c:pt idx="67">
                  <c:v>2.1538250000000002E-2</c:v>
                </c:pt>
                <c:pt idx="68">
                  <c:v>2.1825500000000005E-2</c:v>
                </c:pt>
                <c:pt idx="69">
                  <c:v>2.211275E-2</c:v>
                </c:pt>
                <c:pt idx="70">
                  <c:v>2.2400000000000003E-2</c:v>
                </c:pt>
                <c:pt idx="71">
                  <c:v>2.2687250000000006E-2</c:v>
                </c:pt>
                <c:pt idx="72">
                  <c:v>2.2974500000000005E-2</c:v>
                </c:pt>
                <c:pt idx="73">
                  <c:v>2.3261750000000005E-2</c:v>
                </c:pt>
                <c:pt idx="74">
                  <c:v>2.3549000000000004E-2</c:v>
                </c:pt>
                <c:pt idx="75">
                  <c:v>2.3836250000000003E-2</c:v>
                </c:pt>
                <c:pt idx="76">
                  <c:v>2.4123500000000006E-2</c:v>
                </c:pt>
                <c:pt idx="77">
                  <c:v>2.4410750000000002E-2</c:v>
                </c:pt>
                <c:pt idx="78">
                  <c:v>2.4698000000000005E-2</c:v>
                </c:pt>
                <c:pt idx="79">
                  <c:v>2.4985250000000001E-2</c:v>
                </c:pt>
                <c:pt idx="80">
                  <c:v>2.5272500000000003E-2</c:v>
                </c:pt>
                <c:pt idx="81">
                  <c:v>2.5559750000000003E-2</c:v>
                </c:pt>
                <c:pt idx="82">
                  <c:v>2.5847000000000002E-2</c:v>
                </c:pt>
                <c:pt idx="83">
                  <c:v>2.6134250000000001E-2</c:v>
                </c:pt>
                <c:pt idx="84">
                  <c:v>2.6421500000000004E-2</c:v>
                </c:pt>
                <c:pt idx="85">
                  <c:v>2.6708750000000003E-2</c:v>
                </c:pt>
                <c:pt idx="86">
                  <c:v>2.6996000000000003E-2</c:v>
                </c:pt>
                <c:pt idx="87">
                  <c:v>2.7283250000000005E-2</c:v>
                </c:pt>
                <c:pt idx="88">
                  <c:v>2.7570500000000001E-2</c:v>
                </c:pt>
                <c:pt idx="89">
                  <c:v>2.7857750000000004E-2</c:v>
                </c:pt>
                <c:pt idx="90">
                  <c:v>2.8145000000000003E-2</c:v>
                </c:pt>
                <c:pt idx="91">
                  <c:v>2.8432250000000003E-2</c:v>
                </c:pt>
                <c:pt idx="92">
                  <c:v>2.8719500000000005E-2</c:v>
                </c:pt>
                <c:pt idx="93">
                  <c:v>2.9006750000000005E-2</c:v>
                </c:pt>
                <c:pt idx="94">
                  <c:v>2.9294000000000004E-2</c:v>
                </c:pt>
                <c:pt idx="95">
                  <c:v>2.9581250000000003E-2</c:v>
                </c:pt>
                <c:pt idx="96">
                  <c:v>2.9868500000000006E-2</c:v>
                </c:pt>
                <c:pt idx="97">
                  <c:v>3.0155750000000002E-2</c:v>
                </c:pt>
                <c:pt idx="98">
                  <c:v>3.0443000000000005E-2</c:v>
                </c:pt>
                <c:pt idx="99">
                  <c:v>3.0730250000000001E-2</c:v>
                </c:pt>
                <c:pt idx="100">
                  <c:v>3.1017500000000003E-2</c:v>
                </c:pt>
                <c:pt idx="101">
                  <c:v>3.1304749999999999E-2</c:v>
                </c:pt>
                <c:pt idx="102">
                  <c:v>3.1592000000000009E-2</c:v>
                </c:pt>
                <c:pt idx="103">
                  <c:v>3.1879250000000005E-2</c:v>
                </c:pt>
                <c:pt idx="104">
                  <c:v>3.2166500000000001E-2</c:v>
                </c:pt>
                <c:pt idx="105">
                  <c:v>3.2453750000000003E-2</c:v>
                </c:pt>
                <c:pt idx="106">
                  <c:v>3.2741000000000006E-2</c:v>
                </c:pt>
                <c:pt idx="107">
                  <c:v>3.3028250000000002E-2</c:v>
                </c:pt>
                <c:pt idx="108">
                  <c:v>3.3315499999999998E-2</c:v>
                </c:pt>
                <c:pt idx="109">
                  <c:v>3.3602750000000008E-2</c:v>
                </c:pt>
                <c:pt idx="110">
                  <c:v>3.3890000000000003E-2</c:v>
                </c:pt>
                <c:pt idx="111">
                  <c:v>3.4177249999999999E-2</c:v>
                </c:pt>
                <c:pt idx="112">
                  <c:v>3.4464500000000002E-2</c:v>
                </c:pt>
                <c:pt idx="113">
                  <c:v>3.4751750000000005E-2</c:v>
                </c:pt>
                <c:pt idx="114">
                  <c:v>3.5039000000000001E-2</c:v>
                </c:pt>
                <c:pt idx="115">
                  <c:v>3.5326250000000003E-2</c:v>
                </c:pt>
                <c:pt idx="116">
                  <c:v>3.5613499999999999E-2</c:v>
                </c:pt>
                <c:pt idx="117">
                  <c:v>3.5900750000000009E-2</c:v>
                </c:pt>
                <c:pt idx="118">
                  <c:v>3.6188000000000005E-2</c:v>
                </c:pt>
                <c:pt idx="119">
                  <c:v>3.6475250000000001E-2</c:v>
                </c:pt>
                <c:pt idx="120">
                  <c:v>3.6762500000000004E-2</c:v>
                </c:pt>
                <c:pt idx="121">
                  <c:v>3.7049750000000006E-2</c:v>
                </c:pt>
                <c:pt idx="122">
                  <c:v>3.7337000000000002E-2</c:v>
                </c:pt>
                <c:pt idx="123">
                  <c:v>3.7624249999999998E-2</c:v>
                </c:pt>
                <c:pt idx="124">
                  <c:v>3.7911500000000008E-2</c:v>
                </c:pt>
                <c:pt idx="125">
                  <c:v>3.8198750000000004E-2</c:v>
                </c:pt>
                <c:pt idx="126">
                  <c:v>3.8485999999999999E-2</c:v>
                </c:pt>
                <c:pt idx="127">
                  <c:v>3.8773250000000009E-2</c:v>
                </c:pt>
                <c:pt idx="128">
                  <c:v>3.9060500000000005E-2</c:v>
                </c:pt>
                <c:pt idx="129">
                  <c:v>3.9347750000000001E-2</c:v>
                </c:pt>
                <c:pt idx="130">
                  <c:v>3.9635000000000004E-2</c:v>
                </c:pt>
                <c:pt idx="131">
                  <c:v>3.9922250000000006E-2</c:v>
                </c:pt>
                <c:pt idx="132">
                  <c:v>4.0209500000000002E-2</c:v>
                </c:pt>
                <c:pt idx="133">
                  <c:v>4.0496749999999998E-2</c:v>
                </c:pt>
                <c:pt idx="134">
                  <c:v>4.0784000000000008E-2</c:v>
                </c:pt>
                <c:pt idx="135">
                  <c:v>4.1071250000000004E-2</c:v>
                </c:pt>
                <c:pt idx="136">
                  <c:v>4.1358500000000006E-2</c:v>
                </c:pt>
                <c:pt idx="137">
                  <c:v>4.1645750000000002E-2</c:v>
                </c:pt>
                <c:pt idx="138">
                  <c:v>4.1933000000000005E-2</c:v>
                </c:pt>
                <c:pt idx="139">
                  <c:v>4.2220250000000001E-2</c:v>
                </c:pt>
                <c:pt idx="140">
                  <c:v>4.2507500000000004E-2</c:v>
                </c:pt>
                <c:pt idx="141">
                  <c:v>4.2794749999999999E-2</c:v>
                </c:pt>
                <c:pt idx="142">
                  <c:v>4.3082000000000009E-2</c:v>
                </c:pt>
                <c:pt idx="143">
                  <c:v>4.3369250000000005E-2</c:v>
                </c:pt>
                <c:pt idx="144">
                  <c:v>4.3656500000000001E-2</c:v>
                </c:pt>
                <c:pt idx="145">
                  <c:v>4.3943750000000004E-2</c:v>
                </c:pt>
                <c:pt idx="146">
                  <c:v>4.4231000000000006E-2</c:v>
                </c:pt>
                <c:pt idx="147">
                  <c:v>4.4518250000000002E-2</c:v>
                </c:pt>
                <c:pt idx="148">
                  <c:v>4.4805499999999998E-2</c:v>
                </c:pt>
                <c:pt idx="149">
                  <c:v>4.5092750000000001E-2</c:v>
                </c:pt>
                <c:pt idx="150">
                  <c:v>4.5380000000000004E-2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D-4184-B392-FB6667867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14512"/>
        <c:axId val="158713552"/>
      </c:scatterChart>
      <c:valAx>
        <c:axId val="15871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Risk or Standard Deviation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13552"/>
        <c:crosses val="autoZero"/>
        <c:crossBetween val="midCat"/>
      </c:valAx>
      <c:valAx>
        <c:axId val="1587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Expected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14512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2603500</xdr:colOff>
      <xdr:row>21</xdr:row>
      <xdr:rowOff>44450</xdr:rowOff>
    </xdr:from>
    <xdr:to>
      <xdr:col>12</xdr:col>
      <xdr:colOff>330200</xdr:colOff>
      <xdr:row>37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70307E-1015-41D9-A742-1A46D72A7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1AF5-97EA-4072-8A62-465D469D12FC}">
  <dimension ref="A1:N121"/>
  <sheetViews>
    <sheetView zoomScale="130" zoomScaleNormal="130" workbookViewId="0">
      <selection activeCell="I9" sqref="I9"/>
    </sheetView>
  </sheetViews>
  <sheetFormatPr defaultRowHeight="14.5" x14ac:dyDescent="0.35"/>
  <cols>
    <col min="1" max="1" width="13.1796875" bestFit="1" customWidth="1"/>
    <col min="2" max="2" width="29" bestFit="1" customWidth="1"/>
    <col min="3" max="3" width="35.7265625" bestFit="1" customWidth="1"/>
    <col min="4" max="4" width="7.6328125" bestFit="1" customWidth="1"/>
    <col min="6" max="6" width="7.54296875" bestFit="1" customWidth="1"/>
    <col min="8" max="8" width="7.54296875" bestFit="1" customWidth="1"/>
  </cols>
  <sheetData>
    <row r="1" spans="1:14" x14ac:dyDescent="0.35">
      <c r="A1" s="5" t="s">
        <v>0</v>
      </c>
      <c r="B1" s="5" t="s">
        <v>11</v>
      </c>
      <c r="C1" s="5" t="s">
        <v>12</v>
      </c>
      <c r="D1" s="27" t="s">
        <v>18</v>
      </c>
      <c r="E1" s="15" t="s">
        <v>14</v>
      </c>
      <c r="F1" s="15" t="s">
        <v>15</v>
      </c>
      <c r="G1" s="15" t="s">
        <v>16</v>
      </c>
      <c r="H1" s="15" t="s">
        <v>17</v>
      </c>
      <c r="J1" s="15" t="s">
        <v>19</v>
      </c>
      <c r="K1" s="15" t="s">
        <v>14</v>
      </c>
      <c r="L1" s="15" t="s">
        <v>15</v>
      </c>
      <c r="M1" s="15" t="s">
        <v>16</v>
      </c>
      <c r="N1" s="15" t="s">
        <v>17</v>
      </c>
    </row>
    <row r="2" spans="1:14" x14ac:dyDescent="0.35">
      <c r="A2" s="6">
        <v>45351</v>
      </c>
      <c r="B2" s="7">
        <v>140.28</v>
      </c>
      <c r="C2" s="7">
        <v>97.35</v>
      </c>
      <c r="E2" s="16">
        <f t="shared" ref="E2:E61" si="0">B2/B3</f>
        <v>1.0453055141579732</v>
      </c>
      <c r="F2" s="17">
        <f>E2-1</f>
        <v>4.5305514157973237E-2</v>
      </c>
      <c r="G2" s="17">
        <f>AVERAGE(F2:F61)</f>
        <v>9.235804413709494E-3</v>
      </c>
      <c r="H2" s="17">
        <f>PRODUCT(E2:E61)^(1/60)-1</f>
        <v>7.8996375160886867E-3</v>
      </c>
      <c r="K2" s="16">
        <f t="shared" ref="K2:K33" si="1">C2/C3</f>
        <v>0.98234106962663981</v>
      </c>
      <c r="L2" s="17">
        <f>K2-1</f>
        <v>-1.7658930373360193E-2</v>
      </c>
      <c r="M2" s="17">
        <f>AVERAGE(L2:L61)</f>
        <v>-1.4255835377848505E-3</v>
      </c>
      <c r="N2" s="17">
        <f>PRODUCT(K2:K61)^(1/60)-1</f>
        <v>-1.5849109392089833E-3</v>
      </c>
    </row>
    <row r="3" spans="1:14" x14ac:dyDescent="0.35">
      <c r="A3" s="8">
        <v>45322</v>
      </c>
      <c r="B3" s="9">
        <v>134.19999999999999</v>
      </c>
      <c r="C3" s="9">
        <v>99.1</v>
      </c>
      <c r="E3" s="16">
        <f t="shared" si="0"/>
        <v>1.0088708464892495</v>
      </c>
      <c r="F3" s="17">
        <f t="shared" ref="F3:F61" si="2">E3-1</f>
        <v>8.8708464892495176E-3</v>
      </c>
      <c r="K3" s="16">
        <f t="shared" si="1"/>
        <v>0.99848866498740552</v>
      </c>
      <c r="L3" s="17">
        <f t="shared" ref="L3" si="3">K3-1</f>
        <v>-1.5113350125944836E-3</v>
      </c>
    </row>
    <row r="4" spans="1:14" x14ac:dyDescent="0.35">
      <c r="A4" s="8">
        <v>45291</v>
      </c>
      <c r="B4" s="9">
        <v>133.02000000000001</v>
      </c>
      <c r="C4" s="9">
        <v>99.25</v>
      </c>
      <c r="E4" s="16">
        <f t="shared" si="0"/>
        <v>1.0410079824698701</v>
      </c>
      <c r="F4" s="17">
        <f t="shared" si="2"/>
        <v>4.1007982469870141E-2</v>
      </c>
      <c r="K4" s="16">
        <f t="shared" si="1"/>
        <v>1.0310617078745066</v>
      </c>
      <c r="L4" s="17">
        <f t="shared" ref="L4" si="4">K4-1</f>
        <v>3.1061707874506572E-2</v>
      </c>
    </row>
    <row r="5" spans="1:14" x14ac:dyDescent="0.35">
      <c r="A5" s="8">
        <v>45260</v>
      </c>
      <c r="B5" s="9">
        <v>127.78</v>
      </c>
      <c r="C5" s="9">
        <v>96.26</v>
      </c>
      <c r="E5" s="16">
        <f t="shared" si="0"/>
        <v>1.0911109213559902</v>
      </c>
      <c r="F5" s="17">
        <f t="shared" si="2"/>
        <v>9.1110921355990193E-2</v>
      </c>
      <c r="K5" s="16">
        <f t="shared" si="1"/>
        <v>1.0427905969017441</v>
      </c>
      <c r="L5" s="17">
        <f t="shared" ref="L5" si="5">K5-1</f>
        <v>4.2790596901744138E-2</v>
      </c>
    </row>
    <row r="6" spans="1:14" x14ac:dyDescent="0.35">
      <c r="A6" s="8">
        <v>45230</v>
      </c>
      <c r="B6" s="9">
        <v>117.11</v>
      </c>
      <c r="C6" s="9">
        <v>92.31</v>
      </c>
      <c r="E6" s="16">
        <f t="shared" si="0"/>
        <v>0.97453607389531494</v>
      </c>
      <c r="F6" s="17">
        <f t="shared" si="2"/>
        <v>-2.5463926104685064E-2</v>
      </c>
      <c r="K6" s="16">
        <f t="shared" si="1"/>
        <v>0.98160357294768175</v>
      </c>
      <c r="L6" s="17">
        <f t="shared" ref="L6" si="6">K6-1</f>
        <v>-1.8396427052318254E-2</v>
      </c>
    </row>
    <row r="7" spans="1:14" x14ac:dyDescent="0.35">
      <c r="A7" s="8">
        <v>45199</v>
      </c>
      <c r="B7" s="9">
        <v>120.17</v>
      </c>
      <c r="C7" s="9">
        <v>94.04</v>
      </c>
      <c r="E7" s="16">
        <f t="shared" si="0"/>
        <v>0.9560063643595863</v>
      </c>
      <c r="F7" s="17">
        <f t="shared" si="2"/>
        <v>-4.3993635640413697E-2</v>
      </c>
      <c r="K7" s="16">
        <f t="shared" si="1"/>
        <v>0.97148760330578521</v>
      </c>
      <c r="L7" s="17">
        <f t="shared" ref="L7" si="7">K7-1</f>
        <v>-2.8512396694214792E-2</v>
      </c>
    </row>
    <row r="8" spans="1:14" x14ac:dyDescent="0.35">
      <c r="A8" s="8">
        <v>45169</v>
      </c>
      <c r="B8" s="9">
        <v>125.7</v>
      </c>
      <c r="C8" s="9">
        <v>96.8</v>
      </c>
      <c r="E8" s="16">
        <f t="shared" si="0"/>
        <v>0.97790571028473638</v>
      </c>
      <c r="F8" s="17">
        <f t="shared" si="2"/>
        <v>-2.2094289715263615E-2</v>
      </c>
      <c r="K8" s="16">
        <f t="shared" si="1"/>
        <v>0.99099099099099086</v>
      </c>
      <c r="L8" s="17">
        <f t="shared" ref="L8" si="8">K8-1</f>
        <v>-9.009009009009139E-3</v>
      </c>
    </row>
    <row r="9" spans="1:14" x14ac:dyDescent="0.35">
      <c r="A9" s="8">
        <v>45138</v>
      </c>
      <c r="B9" s="9">
        <v>128.54</v>
      </c>
      <c r="C9" s="9">
        <v>97.68</v>
      </c>
      <c r="E9" s="16">
        <f t="shared" si="0"/>
        <v>1.0322839704465145</v>
      </c>
      <c r="F9" s="17">
        <f t="shared" si="2"/>
        <v>3.2283970446514543E-2</v>
      </c>
      <c r="K9" s="16">
        <f t="shared" si="1"/>
        <v>0.99724349157733538</v>
      </c>
      <c r="L9" s="17">
        <f t="shared" ref="L9" si="9">K9-1</f>
        <v>-2.7565084226646164E-3</v>
      </c>
    </row>
    <row r="10" spans="1:14" x14ac:dyDescent="0.35">
      <c r="A10" s="8">
        <v>45107</v>
      </c>
      <c r="B10" s="9">
        <v>124.52</v>
      </c>
      <c r="C10" s="9">
        <v>97.95</v>
      </c>
      <c r="E10" s="16">
        <f t="shared" si="0"/>
        <v>1.0499156829679595</v>
      </c>
      <c r="F10" s="17">
        <f t="shared" si="2"/>
        <v>4.9915682967959452E-2</v>
      </c>
      <c r="K10" s="16">
        <f t="shared" si="1"/>
        <v>0.99371005376889532</v>
      </c>
      <c r="L10" s="17">
        <f t="shared" ref="L10" si="10">K10-1</f>
        <v>-6.2899462311046817E-3</v>
      </c>
    </row>
    <row r="11" spans="1:14" x14ac:dyDescent="0.35">
      <c r="A11" s="8">
        <v>45077</v>
      </c>
      <c r="B11" s="9">
        <v>118.6</v>
      </c>
      <c r="C11" s="9">
        <v>98.57</v>
      </c>
      <c r="E11" s="16">
        <f t="shared" si="0"/>
        <v>0.99006594874363463</v>
      </c>
      <c r="F11" s="17">
        <f t="shared" si="2"/>
        <v>-9.9340512563653727E-3</v>
      </c>
      <c r="K11" s="16">
        <f t="shared" si="1"/>
        <v>0.98609443777511008</v>
      </c>
      <c r="L11" s="17">
        <f t="shared" ref="L11" si="11">K11-1</f>
        <v>-1.3905562224889922E-2</v>
      </c>
    </row>
    <row r="12" spans="1:14" x14ac:dyDescent="0.35">
      <c r="A12" s="8">
        <v>45046</v>
      </c>
      <c r="B12" s="9">
        <v>119.79</v>
      </c>
      <c r="C12" s="9">
        <v>99.96</v>
      </c>
      <c r="E12" s="16">
        <f t="shared" si="0"/>
        <v>1.0180164867850769</v>
      </c>
      <c r="F12" s="17">
        <f t="shared" si="2"/>
        <v>1.8016486785076946E-2</v>
      </c>
      <c r="K12" s="16">
        <f t="shared" si="1"/>
        <v>1.0032115616218384</v>
      </c>
      <c r="L12" s="17">
        <f t="shared" ref="L12" si="12">K12-1</f>
        <v>3.2115616218384435E-3</v>
      </c>
    </row>
    <row r="13" spans="1:14" x14ac:dyDescent="0.35">
      <c r="A13" s="8">
        <v>45016</v>
      </c>
      <c r="B13" s="9">
        <v>117.67</v>
      </c>
      <c r="C13" s="9">
        <v>99.64</v>
      </c>
      <c r="E13" s="16">
        <f t="shared" si="0"/>
        <v>1.0323741007194245</v>
      </c>
      <c r="F13" s="17">
        <f t="shared" si="2"/>
        <v>3.2374100719424481E-2</v>
      </c>
      <c r="K13" s="16">
        <f t="shared" si="1"/>
        <v>1.0239440961874422</v>
      </c>
      <c r="L13" s="17">
        <f t="shared" ref="L13" si="13">K13-1</f>
        <v>2.3944096187442199E-2</v>
      </c>
    </row>
    <row r="14" spans="1:14" x14ac:dyDescent="0.35">
      <c r="A14" s="8">
        <v>44985</v>
      </c>
      <c r="B14" s="9">
        <v>113.98</v>
      </c>
      <c r="C14" s="9">
        <v>97.31</v>
      </c>
      <c r="E14" s="16">
        <f t="shared" si="0"/>
        <v>0.97410477736945555</v>
      </c>
      <c r="F14" s="17">
        <f t="shared" si="2"/>
        <v>-2.5895222630544446E-2</v>
      </c>
      <c r="K14" s="16">
        <f t="shared" si="1"/>
        <v>0.97096387946517659</v>
      </c>
      <c r="L14" s="17">
        <f t="shared" ref="L14" si="14">K14-1</f>
        <v>-2.9036120534823406E-2</v>
      </c>
    </row>
    <row r="15" spans="1:14" x14ac:dyDescent="0.35">
      <c r="A15" s="8">
        <v>44957</v>
      </c>
      <c r="B15" s="9">
        <v>117.01</v>
      </c>
      <c r="C15" s="9">
        <v>100.22</v>
      </c>
      <c r="E15" s="16">
        <f t="shared" si="0"/>
        <v>1.071029748283753</v>
      </c>
      <c r="F15" s="17">
        <f t="shared" si="2"/>
        <v>7.1029748283752969E-2</v>
      </c>
      <c r="K15" s="16">
        <f t="shared" si="1"/>
        <v>1.0333024023095165</v>
      </c>
      <c r="L15" s="17">
        <f t="shared" ref="L15" si="15">K15-1</f>
        <v>3.3302402309516532E-2</v>
      </c>
    </row>
    <row r="16" spans="1:14" x14ac:dyDescent="0.35">
      <c r="A16" s="8">
        <v>44926</v>
      </c>
      <c r="B16" s="9">
        <v>109.25</v>
      </c>
      <c r="C16" s="9">
        <v>96.99</v>
      </c>
      <c r="E16" s="16">
        <f t="shared" si="0"/>
        <v>0.9463790713790714</v>
      </c>
      <c r="F16" s="17">
        <f t="shared" si="2"/>
        <v>-5.3620928620928598E-2</v>
      </c>
      <c r="K16" s="16">
        <f t="shared" si="1"/>
        <v>0.98677383253637185</v>
      </c>
      <c r="L16" s="17">
        <f t="shared" ref="L16" si="16">K16-1</f>
        <v>-1.3226167463628147E-2</v>
      </c>
    </row>
    <row r="17" spans="1:12" x14ac:dyDescent="0.35">
      <c r="A17" s="8">
        <v>44895</v>
      </c>
      <c r="B17" s="9">
        <v>115.44</v>
      </c>
      <c r="C17" s="9">
        <v>98.29</v>
      </c>
      <c r="E17" s="16">
        <f t="shared" si="0"/>
        <v>1.0746602122509774</v>
      </c>
      <c r="F17" s="17">
        <f t="shared" si="2"/>
        <v>7.4660212250977409E-2</v>
      </c>
      <c r="K17" s="16">
        <f t="shared" si="1"/>
        <v>1.0357218124341412</v>
      </c>
      <c r="L17" s="17">
        <f t="shared" ref="L17" si="17">K17-1</f>
        <v>3.5721812434141187E-2</v>
      </c>
    </row>
    <row r="18" spans="1:12" x14ac:dyDescent="0.35">
      <c r="A18" s="8">
        <v>44865</v>
      </c>
      <c r="B18" s="9">
        <v>107.42</v>
      </c>
      <c r="C18" s="9">
        <v>94.9</v>
      </c>
      <c r="E18" s="16">
        <f t="shared" si="0"/>
        <v>1.0747373686843422</v>
      </c>
      <c r="F18" s="17">
        <f t="shared" si="2"/>
        <v>7.473736868434222E-2</v>
      </c>
      <c r="K18" s="16">
        <f t="shared" si="1"/>
        <v>0.98505293751297496</v>
      </c>
      <c r="L18" s="17">
        <f t="shared" ref="L18" si="18">K18-1</f>
        <v>-1.4947062487025042E-2</v>
      </c>
    </row>
    <row r="19" spans="1:12" x14ac:dyDescent="0.35">
      <c r="A19" s="8">
        <v>44834</v>
      </c>
      <c r="B19" s="9">
        <v>99.95</v>
      </c>
      <c r="C19" s="9">
        <v>96.34</v>
      </c>
      <c r="E19" s="16">
        <f t="shared" si="0"/>
        <v>0.90632934348929994</v>
      </c>
      <c r="F19" s="17">
        <f t="shared" si="2"/>
        <v>-9.3670656510700057E-2</v>
      </c>
      <c r="K19" s="16">
        <f t="shared" si="1"/>
        <v>0.95660808261344465</v>
      </c>
      <c r="L19" s="17">
        <f t="shared" ref="L19" si="19">K19-1</f>
        <v>-4.3391917386555345E-2</v>
      </c>
    </row>
    <row r="20" spans="1:12" x14ac:dyDescent="0.35">
      <c r="A20" s="8">
        <v>44804</v>
      </c>
      <c r="B20" s="9">
        <v>110.28</v>
      </c>
      <c r="C20" s="9">
        <v>100.71</v>
      </c>
      <c r="E20" s="16">
        <f t="shared" si="0"/>
        <v>0.95422687548671803</v>
      </c>
      <c r="F20" s="17">
        <f t="shared" si="2"/>
        <v>-4.5773124513281971E-2</v>
      </c>
      <c r="K20" s="16">
        <f t="shared" si="1"/>
        <v>0.96771403862784666</v>
      </c>
      <c r="L20" s="17">
        <f t="shared" ref="L20" si="20">K20-1</f>
        <v>-3.2285961372153338E-2</v>
      </c>
    </row>
    <row r="21" spans="1:12" x14ac:dyDescent="0.35">
      <c r="A21" s="8">
        <v>44773</v>
      </c>
      <c r="B21" s="9">
        <v>115.57</v>
      </c>
      <c r="C21" s="9">
        <v>104.07</v>
      </c>
      <c r="E21" s="16">
        <f t="shared" si="0"/>
        <v>1.081306137724551</v>
      </c>
      <c r="F21" s="17">
        <f t="shared" si="2"/>
        <v>8.1306137724550975E-2</v>
      </c>
      <c r="K21" s="16">
        <f t="shared" si="1"/>
        <v>1.0235051140833988</v>
      </c>
      <c r="L21" s="17">
        <f t="shared" ref="L21" si="21">K21-1</f>
        <v>2.3505114083398837E-2</v>
      </c>
    </row>
    <row r="22" spans="1:12" x14ac:dyDescent="0.35">
      <c r="A22" s="8">
        <v>44742</v>
      </c>
      <c r="B22" s="9">
        <v>106.88</v>
      </c>
      <c r="C22" s="9">
        <v>101.68</v>
      </c>
      <c r="E22" s="16">
        <f t="shared" si="0"/>
        <v>0.90622350347634384</v>
      </c>
      <c r="F22" s="17">
        <f t="shared" si="2"/>
        <v>-9.3776496523656161E-2</v>
      </c>
      <c r="K22" s="16">
        <f t="shared" si="1"/>
        <v>0.98270029960374994</v>
      </c>
      <c r="L22" s="17">
        <f t="shared" ref="L22" si="22">K22-1</f>
        <v>-1.7299700396250062E-2</v>
      </c>
    </row>
    <row r="23" spans="1:12" x14ac:dyDescent="0.35">
      <c r="A23" s="8">
        <v>44712</v>
      </c>
      <c r="B23" s="9">
        <v>117.94</v>
      </c>
      <c r="C23" s="9">
        <v>103.47</v>
      </c>
      <c r="E23" s="16">
        <f t="shared" si="0"/>
        <v>1.0044285470958951</v>
      </c>
      <c r="F23" s="17">
        <f t="shared" si="2"/>
        <v>4.4285470958951301E-3</v>
      </c>
      <c r="K23" s="16">
        <f t="shared" si="1"/>
        <v>1.005832604257801</v>
      </c>
      <c r="L23" s="17">
        <f t="shared" ref="L23" si="23">K23-1</f>
        <v>5.8326042578009663E-3</v>
      </c>
    </row>
    <row r="24" spans="1:12" x14ac:dyDescent="0.35">
      <c r="A24" s="8">
        <v>44681</v>
      </c>
      <c r="B24" s="9">
        <v>117.42</v>
      </c>
      <c r="C24" s="9">
        <v>102.87</v>
      </c>
      <c r="E24" s="16">
        <f t="shared" si="0"/>
        <v>0.91619850187265917</v>
      </c>
      <c r="F24" s="17">
        <f t="shared" si="2"/>
        <v>-8.3801498127340834E-2</v>
      </c>
      <c r="K24" s="16">
        <f t="shared" si="1"/>
        <v>0.96050420168067241</v>
      </c>
      <c r="L24" s="17">
        <f t="shared" ref="L24" si="24">K24-1</f>
        <v>-3.9495798319327591E-2</v>
      </c>
    </row>
    <row r="25" spans="1:12" x14ac:dyDescent="0.35">
      <c r="A25" s="8">
        <v>44651</v>
      </c>
      <c r="B25" s="9">
        <v>128.16</v>
      </c>
      <c r="C25" s="9">
        <v>107.1</v>
      </c>
      <c r="E25" s="16">
        <f t="shared" si="0"/>
        <v>1.0287365548242093</v>
      </c>
      <c r="F25" s="17">
        <f t="shared" si="2"/>
        <v>2.8736554824209337E-2</v>
      </c>
      <c r="K25" s="16">
        <f t="shared" si="1"/>
        <v>0.9704603117071402</v>
      </c>
      <c r="L25" s="17">
        <f t="shared" ref="L25" si="25">K25-1</f>
        <v>-2.95396882928598E-2</v>
      </c>
    </row>
    <row r="26" spans="1:12" x14ac:dyDescent="0.35">
      <c r="A26" s="8">
        <v>44620</v>
      </c>
      <c r="B26" s="9">
        <v>124.58</v>
      </c>
      <c r="C26" s="9">
        <v>110.36</v>
      </c>
      <c r="E26" s="16">
        <f t="shared" si="0"/>
        <v>0.97085411471321703</v>
      </c>
      <c r="F26" s="17">
        <f t="shared" si="2"/>
        <v>-2.9145885286782969E-2</v>
      </c>
      <c r="K26" s="16">
        <f t="shared" si="1"/>
        <v>0.98711985688729875</v>
      </c>
      <c r="L26" s="17">
        <f t="shared" ref="L26" si="26">K26-1</f>
        <v>-1.2880143112701248E-2</v>
      </c>
    </row>
    <row r="27" spans="1:12" x14ac:dyDescent="0.35">
      <c r="A27" s="8">
        <v>44592</v>
      </c>
      <c r="B27" s="9">
        <v>128.32</v>
      </c>
      <c r="C27" s="9">
        <v>111.8</v>
      </c>
      <c r="E27" s="16">
        <f t="shared" si="0"/>
        <v>0.94827076559266921</v>
      </c>
      <c r="F27" s="17">
        <f t="shared" si="2"/>
        <v>-5.1729234407330793E-2</v>
      </c>
      <c r="K27" s="16">
        <f t="shared" si="1"/>
        <v>0.98001402524544179</v>
      </c>
      <c r="L27" s="17">
        <f t="shared" ref="L27" si="27">K27-1</f>
        <v>-1.9985974754558211E-2</v>
      </c>
    </row>
    <row r="28" spans="1:12" x14ac:dyDescent="0.35">
      <c r="A28" s="8">
        <v>44561</v>
      </c>
      <c r="B28" s="9">
        <v>135.32</v>
      </c>
      <c r="C28" s="9">
        <v>114.08</v>
      </c>
      <c r="E28" s="16">
        <f t="shared" si="0"/>
        <v>1.032189168573608</v>
      </c>
      <c r="F28" s="17">
        <f t="shared" si="2"/>
        <v>3.2189168573607985E-2</v>
      </c>
      <c r="K28" s="16">
        <f t="shared" si="1"/>
        <v>0.9939879759519038</v>
      </c>
      <c r="L28" s="17">
        <f t="shared" ref="L28" si="28">K28-1</f>
        <v>-6.0120240480961984E-3</v>
      </c>
    </row>
    <row r="29" spans="1:12" x14ac:dyDescent="0.35">
      <c r="A29" s="8">
        <v>44530</v>
      </c>
      <c r="B29" s="9">
        <v>131.1</v>
      </c>
      <c r="C29" s="9">
        <v>114.77</v>
      </c>
      <c r="E29" s="16">
        <f t="shared" si="0"/>
        <v>0.97952779438135085</v>
      </c>
      <c r="F29" s="17">
        <f t="shared" si="2"/>
        <v>-2.0472205618649153E-2</v>
      </c>
      <c r="K29" s="16">
        <f t="shared" si="1"/>
        <v>1.0011339846475924</v>
      </c>
      <c r="L29" s="17">
        <f t="shared" ref="L29" si="29">K29-1</f>
        <v>1.1339846475924009E-3</v>
      </c>
    </row>
    <row r="30" spans="1:12" x14ac:dyDescent="0.35">
      <c r="A30" s="8">
        <v>44500</v>
      </c>
      <c r="B30" s="9">
        <v>133.84</v>
      </c>
      <c r="C30" s="9">
        <v>114.64</v>
      </c>
      <c r="E30" s="16">
        <f t="shared" si="0"/>
        <v>1.0583583741894671</v>
      </c>
      <c r="F30" s="17">
        <f t="shared" si="2"/>
        <v>5.8358374189467099E-2</v>
      </c>
      <c r="K30" s="16">
        <f t="shared" si="1"/>
        <v>0.99834538012714447</v>
      </c>
      <c r="L30" s="17">
        <f t="shared" ref="L30" si="30">K30-1</f>
        <v>-1.6546198728555339E-3</v>
      </c>
    </row>
    <row r="31" spans="1:12" x14ac:dyDescent="0.35">
      <c r="A31" s="8">
        <v>44469</v>
      </c>
      <c r="B31" s="9">
        <v>126.46</v>
      </c>
      <c r="C31" s="9">
        <v>114.83</v>
      </c>
      <c r="E31" s="16">
        <f t="shared" si="0"/>
        <v>0.95788516891380082</v>
      </c>
      <c r="F31" s="17">
        <f t="shared" si="2"/>
        <v>-4.2114831086199178E-2</v>
      </c>
      <c r="K31" s="16">
        <f t="shared" si="1"/>
        <v>0.98940203343098398</v>
      </c>
      <c r="L31" s="17">
        <f t="shared" ref="L31" si="31">K31-1</f>
        <v>-1.0597966569016015E-2</v>
      </c>
    </row>
    <row r="32" spans="1:12" x14ac:dyDescent="0.35">
      <c r="A32" s="8">
        <v>44439</v>
      </c>
      <c r="B32" s="9">
        <v>132.02000000000001</v>
      </c>
      <c r="C32" s="9">
        <v>116.06</v>
      </c>
      <c r="E32" s="16">
        <f t="shared" si="0"/>
        <v>1.0247613133586897</v>
      </c>
      <c r="F32" s="17">
        <f t="shared" si="2"/>
        <v>2.4761313358689696E-2</v>
      </c>
      <c r="K32" s="16">
        <f t="shared" si="1"/>
        <v>0.99656534432423161</v>
      </c>
      <c r="L32" s="17">
        <f t="shared" ref="L32" si="32">K32-1</f>
        <v>-3.4346556757683944E-3</v>
      </c>
    </row>
    <row r="33" spans="1:12" x14ac:dyDescent="0.35">
      <c r="A33" s="8">
        <v>44408</v>
      </c>
      <c r="B33" s="9">
        <v>128.83000000000001</v>
      </c>
      <c r="C33" s="9">
        <v>116.46</v>
      </c>
      <c r="E33" s="16">
        <f t="shared" si="0"/>
        <v>1.0178557320060047</v>
      </c>
      <c r="F33" s="17">
        <f t="shared" si="2"/>
        <v>1.7855732006004654E-2</v>
      </c>
      <c r="K33" s="16">
        <f t="shared" si="1"/>
        <v>1.0097979710396254</v>
      </c>
      <c r="L33" s="17">
        <f t="shared" ref="L33" si="33">K33-1</f>
        <v>9.7979710396254305E-3</v>
      </c>
    </row>
    <row r="34" spans="1:12" x14ac:dyDescent="0.35">
      <c r="A34" s="8">
        <v>44377</v>
      </c>
      <c r="B34" s="9">
        <v>126.57</v>
      </c>
      <c r="C34" s="9">
        <v>115.33</v>
      </c>
      <c r="E34" s="16">
        <f t="shared" si="0"/>
        <v>1.0077229299363057</v>
      </c>
      <c r="F34" s="17">
        <f t="shared" si="2"/>
        <v>7.7229299363057446E-3</v>
      </c>
      <c r="K34" s="16">
        <f t="shared" ref="K34:K61" si="34">C34/C35</f>
        <v>1.0068092536010476</v>
      </c>
      <c r="L34" s="17">
        <f t="shared" ref="L34" si="35">K34-1</f>
        <v>6.8092536010475602E-3</v>
      </c>
    </row>
    <row r="35" spans="1:12" x14ac:dyDescent="0.35">
      <c r="A35" s="8">
        <v>44347</v>
      </c>
      <c r="B35" s="9">
        <v>125.6</v>
      </c>
      <c r="C35" s="9">
        <v>114.55</v>
      </c>
      <c r="E35" s="16">
        <f t="shared" si="0"/>
        <v>1.0160990211147964</v>
      </c>
      <c r="F35" s="17">
        <f t="shared" si="2"/>
        <v>1.6099021114796441E-2</v>
      </c>
      <c r="K35" s="16">
        <f t="shared" si="34"/>
        <v>1.0005240632369639</v>
      </c>
      <c r="L35" s="17">
        <f t="shared" ref="L35" si="36">K35-1</f>
        <v>5.2406323696385648E-4</v>
      </c>
    </row>
    <row r="36" spans="1:12" x14ac:dyDescent="0.35">
      <c r="A36" s="8">
        <v>44316</v>
      </c>
      <c r="B36" s="9">
        <v>123.61</v>
      </c>
      <c r="C36" s="9">
        <v>114.49</v>
      </c>
      <c r="E36" s="16">
        <f t="shared" si="0"/>
        <v>1.0432103975018989</v>
      </c>
      <c r="F36" s="17">
        <f t="shared" si="2"/>
        <v>4.3210397501898923E-2</v>
      </c>
      <c r="K36" s="16">
        <f t="shared" si="34"/>
        <v>1.005798120003514</v>
      </c>
      <c r="L36" s="17">
        <f t="shared" ref="L36" si="37">K36-1</f>
        <v>5.7981200035139846E-3</v>
      </c>
    </row>
    <row r="37" spans="1:12" x14ac:dyDescent="0.35">
      <c r="A37" s="8">
        <v>44286</v>
      </c>
      <c r="B37" s="9">
        <v>118.49</v>
      </c>
      <c r="C37" s="9">
        <v>113.83</v>
      </c>
      <c r="E37" s="16">
        <f t="shared" si="0"/>
        <v>1.0369300778857093</v>
      </c>
      <c r="F37" s="17">
        <f t="shared" si="2"/>
        <v>3.6930077885709345E-2</v>
      </c>
      <c r="K37" s="16">
        <f t="shared" si="34"/>
        <v>0.98690827119819657</v>
      </c>
      <c r="L37" s="17">
        <f t="shared" ref="L37" si="38">K37-1</f>
        <v>-1.3091728801803426E-2</v>
      </c>
    </row>
    <row r="38" spans="1:12" x14ac:dyDescent="0.35">
      <c r="A38" s="8">
        <v>44255</v>
      </c>
      <c r="B38" s="9">
        <v>114.27</v>
      </c>
      <c r="C38" s="9">
        <v>115.34</v>
      </c>
      <c r="E38" s="16">
        <f t="shared" si="0"/>
        <v>1.024934971746345</v>
      </c>
      <c r="F38" s="17">
        <f t="shared" si="2"/>
        <v>2.4934971746344958E-2</v>
      </c>
      <c r="K38" s="16">
        <f t="shared" si="34"/>
        <v>0.98320688773335607</v>
      </c>
      <c r="L38" s="17">
        <f t="shared" ref="L38" si="39">K38-1</f>
        <v>-1.6793112266643928E-2</v>
      </c>
    </row>
    <row r="39" spans="1:12" x14ac:dyDescent="0.35">
      <c r="A39" s="8">
        <v>44227</v>
      </c>
      <c r="B39" s="9">
        <v>111.49</v>
      </c>
      <c r="C39" s="9">
        <v>117.31</v>
      </c>
      <c r="E39" s="16">
        <f t="shared" si="0"/>
        <v>0.99181567476203181</v>
      </c>
      <c r="F39" s="17">
        <f t="shared" si="2"/>
        <v>-8.184325237968193E-3</v>
      </c>
      <c r="K39" s="16">
        <f t="shared" si="34"/>
        <v>0.99255436162111854</v>
      </c>
      <c r="L39" s="17">
        <f t="shared" ref="L39" si="40">K39-1</f>
        <v>-7.4456383788814584E-3</v>
      </c>
    </row>
    <row r="40" spans="1:12" x14ac:dyDescent="0.35">
      <c r="A40" s="8">
        <v>44196</v>
      </c>
      <c r="B40" s="9">
        <v>112.41</v>
      </c>
      <c r="C40" s="9">
        <v>118.19</v>
      </c>
      <c r="E40" s="16">
        <f t="shared" si="0"/>
        <v>1.0318523958142096</v>
      </c>
      <c r="F40" s="17">
        <f t="shared" si="2"/>
        <v>3.1852395814209622E-2</v>
      </c>
      <c r="K40" s="16">
        <f t="shared" si="34"/>
        <v>0.99805776051342676</v>
      </c>
      <c r="L40" s="17">
        <f t="shared" ref="L40" si="41">K40-1</f>
        <v>-1.9422394865732384E-3</v>
      </c>
    </row>
    <row r="41" spans="1:12" x14ac:dyDescent="0.35">
      <c r="A41" s="8">
        <v>44165</v>
      </c>
      <c r="B41" s="9">
        <v>108.94</v>
      </c>
      <c r="C41" s="9">
        <v>118.42</v>
      </c>
      <c r="E41" s="16">
        <f t="shared" si="0"/>
        <v>1.1285610690976897</v>
      </c>
      <c r="F41" s="17">
        <f t="shared" si="2"/>
        <v>0.12856106909768972</v>
      </c>
      <c r="K41" s="16">
        <f t="shared" si="34"/>
        <v>1.0104095563139932</v>
      </c>
      <c r="L41" s="17">
        <f t="shared" ref="L41" si="42">K41-1</f>
        <v>1.0409556313993207E-2</v>
      </c>
    </row>
    <row r="42" spans="1:12" x14ac:dyDescent="0.35">
      <c r="A42" s="8">
        <v>44135</v>
      </c>
      <c r="B42" s="9">
        <v>96.53</v>
      </c>
      <c r="C42" s="9">
        <v>117.2</v>
      </c>
      <c r="E42" s="16">
        <f t="shared" si="0"/>
        <v>0.9699557877813505</v>
      </c>
      <c r="F42" s="17">
        <f t="shared" si="2"/>
        <v>-3.0044212218649502E-2</v>
      </c>
      <c r="K42" s="16">
        <f t="shared" si="34"/>
        <v>0.99271556835507369</v>
      </c>
      <c r="L42" s="17">
        <f t="shared" ref="L42" si="43">K42-1</f>
        <v>-7.2844316449263147E-3</v>
      </c>
    </row>
    <row r="43" spans="1:12" x14ac:dyDescent="0.35">
      <c r="A43" s="8">
        <v>44104</v>
      </c>
      <c r="B43" s="9">
        <v>99.52</v>
      </c>
      <c r="C43" s="9">
        <v>118.06</v>
      </c>
      <c r="E43" s="16">
        <f t="shared" si="0"/>
        <v>0.96658896658896665</v>
      </c>
      <c r="F43" s="17">
        <f t="shared" si="2"/>
        <v>-3.3411033411033353E-2</v>
      </c>
      <c r="K43" s="16">
        <f t="shared" si="34"/>
        <v>0.99738109318239421</v>
      </c>
      <c r="L43" s="17">
        <f t="shared" ref="L43" si="44">K43-1</f>
        <v>-2.6189068176057928E-3</v>
      </c>
    </row>
    <row r="44" spans="1:12" x14ac:dyDescent="0.35">
      <c r="A44" s="8">
        <v>44074</v>
      </c>
      <c r="B44" s="9">
        <v>102.96</v>
      </c>
      <c r="C44" s="9">
        <v>118.37</v>
      </c>
      <c r="E44" s="16">
        <f t="shared" si="0"/>
        <v>1.0652871184687014</v>
      </c>
      <c r="F44" s="17">
        <f t="shared" si="2"/>
        <v>6.5287118468701388E-2</v>
      </c>
      <c r="K44" s="16">
        <f t="shared" si="34"/>
        <v>0.99004683840749419</v>
      </c>
      <c r="L44" s="17">
        <f t="shared" ref="L44" si="45">K44-1</f>
        <v>-9.9531615925058103E-3</v>
      </c>
    </row>
    <row r="45" spans="1:12" x14ac:dyDescent="0.35">
      <c r="A45" s="8">
        <v>44043</v>
      </c>
      <c r="B45" s="9">
        <v>96.65</v>
      </c>
      <c r="C45" s="9">
        <v>119.56</v>
      </c>
      <c r="E45" s="16">
        <f t="shared" si="0"/>
        <v>1.0489472541784242</v>
      </c>
      <c r="F45" s="17">
        <f t="shared" si="2"/>
        <v>4.894725417842416E-2</v>
      </c>
      <c r="K45" s="16">
        <f t="shared" si="34"/>
        <v>1.0114203536079858</v>
      </c>
      <c r="L45" s="17">
        <f t="shared" ref="L45" si="46">K45-1</f>
        <v>1.1420353607985767E-2</v>
      </c>
    </row>
    <row r="46" spans="1:12" x14ac:dyDescent="0.35">
      <c r="A46" s="8">
        <v>44012</v>
      </c>
      <c r="B46" s="9">
        <v>92.14</v>
      </c>
      <c r="C46" s="9">
        <v>118.21</v>
      </c>
      <c r="E46" s="16">
        <f t="shared" si="0"/>
        <v>1.0158765159867695</v>
      </c>
      <c r="F46" s="17">
        <f t="shared" si="2"/>
        <v>1.5876515986769535E-2</v>
      </c>
      <c r="K46" s="16">
        <f t="shared" si="34"/>
        <v>1.0047598810029748</v>
      </c>
      <c r="L46" s="17">
        <f t="shared" ref="L46" si="47">K46-1</f>
        <v>4.7598810029747529E-3</v>
      </c>
    </row>
    <row r="47" spans="1:12" x14ac:dyDescent="0.35">
      <c r="A47" s="8">
        <v>43982</v>
      </c>
      <c r="B47" s="9">
        <v>90.7</v>
      </c>
      <c r="C47" s="9">
        <v>117.65</v>
      </c>
      <c r="E47" s="16">
        <f t="shared" si="0"/>
        <v>1.0502547475683186</v>
      </c>
      <c r="F47" s="17">
        <f t="shared" si="2"/>
        <v>5.0254747568318603E-2</v>
      </c>
      <c r="K47" s="16">
        <f t="shared" si="34"/>
        <v>1.0046968403074297</v>
      </c>
      <c r="L47" s="17">
        <f t="shared" ref="L47" si="48">K47-1</f>
        <v>4.6968403074296727E-3</v>
      </c>
    </row>
    <row r="48" spans="1:12" x14ac:dyDescent="0.35">
      <c r="A48" s="8">
        <v>43951</v>
      </c>
      <c r="B48" s="9">
        <v>86.36</v>
      </c>
      <c r="C48" s="9">
        <v>117.1</v>
      </c>
      <c r="E48" s="16">
        <f t="shared" si="0"/>
        <v>1.108174002309765</v>
      </c>
      <c r="F48" s="17">
        <f t="shared" si="2"/>
        <v>0.10817400230976504</v>
      </c>
      <c r="K48" s="16">
        <f t="shared" si="34"/>
        <v>1.0149952327294789</v>
      </c>
      <c r="L48" s="17">
        <f t="shared" ref="L48" si="49">K48-1</f>
        <v>1.4995232729478891E-2</v>
      </c>
    </row>
    <row r="49" spans="1:12" x14ac:dyDescent="0.35">
      <c r="A49" s="8">
        <v>43921</v>
      </c>
      <c r="B49" s="9">
        <v>77.930000000000007</v>
      </c>
      <c r="C49" s="9">
        <v>115.37</v>
      </c>
      <c r="E49" s="16">
        <f t="shared" si="0"/>
        <v>0.86907549905207993</v>
      </c>
      <c r="F49" s="17">
        <f t="shared" si="2"/>
        <v>-0.13092450094792007</v>
      </c>
      <c r="K49" s="16">
        <f t="shared" si="34"/>
        <v>0.99268628463259345</v>
      </c>
      <c r="L49" s="17">
        <f t="shared" ref="L49" si="50">K49-1</f>
        <v>-7.313715367406548E-3</v>
      </c>
    </row>
    <row r="50" spans="1:12" x14ac:dyDescent="0.35">
      <c r="A50" s="8">
        <v>43890</v>
      </c>
      <c r="B50" s="9">
        <v>89.67</v>
      </c>
      <c r="C50" s="9">
        <v>116.22</v>
      </c>
      <c r="E50" s="16">
        <f t="shared" si="0"/>
        <v>0.91752788294280163</v>
      </c>
      <c r="F50" s="17">
        <f t="shared" si="2"/>
        <v>-8.2472117057198369E-2</v>
      </c>
      <c r="K50" s="16">
        <f t="shared" si="34"/>
        <v>1.0136938508504143</v>
      </c>
      <c r="L50" s="17">
        <f t="shared" ref="L50" si="51">K50-1</f>
        <v>1.3693850850414302E-2</v>
      </c>
    </row>
    <row r="51" spans="1:12" x14ac:dyDescent="0.35">
      <c r="A51" s="8">
        <v>43861</v>
      </c>
      <c r="B51" s="9">
        <v>97.73</v>
      </c>
      <c r="C51" s="9">
        <v>114.65</v>
      </c>
      <c r="E51" s="16">
        <f t="shared" si="0"/>
        <v>0.98937031787811303</v>
      </c>
      <c r="F51" s="17">
        <f t="shared" si="2"/>
        <v>-1.0629682121886974E-2</v>
      </c>
      <c r="K51" s="16">
        <f t="shared" si="34"/>
        <v>1.0202901130194892</v>
      </c>
      <c r="L51" s="17">
        <f t="shared" ref="L51" si="52">K51-1</f>
        <v>2.0290113019489242E-2</v>
      </c>
    </row>
    <row r="52" spans="1:12" x14ac:dyDescent="0.35">
      <c r="A52" s="8">
        <v>43830</v>
      </c>
      <c r="B52" s="9">
        <v>98.78</v>
      </c>
      <c r="C52" s="9">
        <v>112.37</v>
      </c>
      <c r="E52" s="16">
        <f t="shared" si="0"/>
        <v>1.02087639520463</v>
      </c>
      <c r="F52" s="17">
        <f t="shared" si="2"/>
        <v>2.0876395204630027E-2</v>
      </c>
      <c r="K52" s="16">
        <f t="shared" si="34"/>
        <v>0.99565833776360102</v>
      </c>
      <c r="L52" s="17">
        <f t="shared" ref="L52" si="53">K52-1</f>
        <v>-4.3416622363989799E-3</v>
      </c>
    </row>
    <row r="53" spans="1:12" x14ac:dyDescent="0.35">
      <c r="A53" s="8">
        <v>43799</v>
      </c>
      <c r="B53" s="9">
        <v>96.76</v>
      </c>
      <c r="C53" s="9">
        <v>112.86</v>
      </c>
      <c r="E53" s="16">
        <f t="shared" si="0"/>
        <v>1.0280492987675307</v>
      </c>
      <c r="F53" s="17">
        <f t="shared" si="2"/>
        <v>2.8049298767530706E-2</v>
      </c>
      <c r="K53" s="16">
        <f t="shared" si="34"/>
        <v>0.99743703049049925</v>
      </c>
      <c r="L53" s="17">
        <f t="shared" ref="L53" si="54">K53-1</f>
        <v>-2.5629695095007454E-3</v>
      </c>
    </row>
    <row r="54" spans="1:12" x14ac:dyDescent="0.35">
      <c r="A54" s="8">
        <v>43769</v>
      </c>
      <c r="B54" s="9">
        <v>94.12</v>
      </c>
      <c r="C54" s="9">
        <v>113.15</v>
      </c>
      <c r="E54" s="16">
        <f t="shared" si="0"/>
        <v>1.0254957507082154</v>
      </c>
      <c r="F54" s="17">
        <f t="shared" si="2"/>
        <v>2.5495750708215414E-2</v>
      </c>
      <c r="K54" s="16">
        <f t="shared" si="34"/>
        <v>0.99982327471944865</v>
      </c>
      <c r="L54" s="17">
        <f t="shared" ref="L54" si="55">K54-1</f>
        <v>-1.7672528055134862E-4</v>
      </c>
    </row>
    <row r="55" spans="1:12" x14ac:dyDescent="0.35">
      <c r="A55" s="8">
        <v>43738</v>
      </c>
      <c r="B55" s="9">
        <v>91.78</v>
      </c>
      <c r="C55" s="9">
        <v>113.17</v>
      </c>
      <c r="E55" s="16">
        <f t="shared" si="0"/>
        <v>1.0215939447907392</v>
      </c>
      <c r="F55" s="17">
        <f t="shared" si="2"/>
        <v>2.1593944790739172E-2</v>
      </c>
      <c r="K55" s="16">
        <f t="shared" si="34"/>
        <v>0.99158853938491198</v>
      </c>
      <c r="L55" s="17">
        <f t="shared" ref="L55" si="56">K55-1</f>
        <v>-8.4114606150880178E-3</v>
      </c>
    </row>
    <row r="56" spans="1:12" x14ac:dyDescent="0.35">
      <c r="A56" s="8">
        <v>43708</v>
      </c>
      <c r="B56" s="9">
        <v>89.84</v>
      </c>
      <c r="C56" s="9">
        <v>114.13</v>
      </c>
      <c r="E56" s="16">
        <f t="shared" si="0"/>
        <v>0.97801001524058351</v>
      </c>
      <c r="F56" s="17">
        <f t="shared" si="2"/>
        <v>-2.1989984759416492E-2</v>
      </c>
      <c r="K56" s="16">
        <f t="shared" si="34"/>
        <v>1.0254267744833783</v>
      </c>
      <c r="L56" s="17">
        <f t="shared" ref="L56" si="57">K56-1</f>
        <v>2.5426774483378267E-2</v>
      </c>
    </row>
    <row r="57" spans="1:12" x14ac:dyDescent="0.35">
      <c r="A57" s="8">
        <v>43677</v>
      </c>
      <c r="B57" s="9">
        <v>91.86</v>
      </c>
      <c r="C57" s="9">
        <v>111.3</v>
      </c>
      <c r="E57" s="16">
        <f t="shared" si="0"/>
        <v>1.0092586793939173</v>
      </c>
      <c r="F57" s="17">
        <f t="shared" si="2"/>
        <v>9.2586793939173351E-3</v>
      </c>
      <c r="K57" s="16">
        <f t="shared" si="34"/>
        <v>0.99955096542433775</v>
      </c>
      <c r="L57" s="17">
        <f t="shared" ref="L57" si="58">K57-1</f>
        <v>-4.4903457566225491E-4</v>
      </c>
    </row>
    <row r="58" spans="1:12" x14ac:dyDescent="0.35">
      <c r="A58" s="8">
        <v>43646</v>
      </c>
      <c r="B58" s="9">
        <v>91.017300000000006</v>
      </c>
      <c r="C58" s="9">
        <v>111.35</v>
      </c>
      <c r="E58" s="16">
        <f t="shared" si="0"/>
        <v>1.0490698478561549</v>
      </c>
      <c r="F58" s="17">
        <f t="shared" si="2"/>
        <v>4.9069847856154869E-2</v>
      </c>
      <c r="K58" s="16">
        <f t="shared" si="34"/>
        <v>1.0086050724637681</v>
      </c>
      <c r="L58" s="17">
        <f t="shared" ref="L58" si="59">K58-1</f>
        <v>8.6050724637680709E-3</v>
      </c>
    </row>
    <row r="59" spans="1:12" x14ac:dyDescent="0.35">
      <c r="A59" s="8">
        <v>43616</v>
      </c>
      <c r="B59" s="9">
        <v>86.76</v>
      </c>
      <c r="C59" s="9">
        <v>110.4</v>
      </c>
      <c r="E59" s="16">
        <f t="shared" si="0"/>
        <v>0.94212183733304378</v>
      </c>
      <c r="F59" s="17">
        <f t="shared" si="2"/>
        <v>-5.7878162666956223E-2</v>
      </c>
      <c r="K59" s="16">
        <f t="shared" si="34"/>
        <v>1.01666820149185</v>
      </c>
      <c r="L59" s="17">
        <f t="shared" ref="L59" si="60">K59-1</f>
        <v>1.6668201491849999E-2</v>
      </c>
    </row>
    <row r="60" spans="1:12" x14ac:dyDescent="0.35">
      <c r="A60" s="8">
        <v>43585</v>
      </c>
      <c r="B60" s="9">
        <v>92.09</v>
      </c>
      <c r="C60" s="9">
        <v>108.59</v>
      </c>
      <c r="E60" s="16">
        <f t="shared" si="0"/>
        <v>1.0371663475616624</v>
      </c>
      <c r="F60" s="17">
        <f t="shared" si="2"/>
        <v>3.7166347561662372E-2</v>
      </c>
      <c r="K60" s="16">
        <f t="shared" si="34"/>
        <v>0.99559915650499686</v>
      </c>
      <c r="L60" s="17">
        <f t="shared" ref="L60" si="61">K60-1</f>
        <v>-4.4008434950031372E-3</v>
      </c>
    </row>
    <row r="61" spans="1:12" x14ac:dyDescent="0.35">
      <c r="A61" s="8">
        <v>43555</v>
      </c>
      <c r="B61" s="9">
        <v>88.79</v>
      </c>
      <c r="C61" s="9">
        <v>109.07</v>
      </c>
      <c r="E61" s="16">
        <f t="shared" si="0"/>
        <v>1.0148588410104014</v>
      </c>
      <c r="F61" s="17">
        <f t="shared" si="2"/>
        <v>1.4858841010401358E-2</v>
      </c>
      <c r="K61" s="16">
        <f t="shared" si="34"/>
        <v>1.0186793686373401</v>
      </c>
      <c r="L61" s="17">
        <f t="shared" ref="L61" si="62">K61-1</f>
        <v>1.8679368637340099E-2</v>
      </c>
    </row>
    <row r="62" spans="1:12" x14ac:dyDescent="0.35">
      <c r="A62" s="8">
        <v>43524</v>
      </c>
      <c r="B62" s="9">
        <v>87.49</v>
      </c>
      <c r="C62" s="9">
        <v>107.07</v>
      </c>
      <c r="E62" s="16"/>
      <c r="F62" s="17"/>
      <c r="K62" s="16"/>
      <c r="L62" s="17"/>
    </row>
    <row r="63" spans="1:12" x14ac:dyDescent="0.35">
      <c r="A63" s="8">
        <v>43496</v>
      </c>
      <c r="B63" s="9">
        <v>84.96</v>
      </c>
      <c r="C63" s="9">
        <v>107.46</v>
      </c>
    </row>
    <row r="64" spans="1:12" x14ac:dyDescent="0.35">
      <c r="A64" s="8">
        <v>43465</v>
      </c>
      <c r="B64" s="9">
        <v>78.87</v>
      </c>
      <c r="C64" s="9">
        <v>106.49</v>
      </c>
    </row>
    <row r="65" spans="1:3" x14ac:dyDescent="0.35">
      <c r="A65" s="8">
        <v>43434</v>
      </c>
      <c r="B65" s="9">
        <v>86.21</v>
      </c>
      <c r="C65" s="9">
        <v>104.88</v>
      </c>
    </row>
    <row r="66" spans="1:3" x14ac:dyDescent="0.35">
      <c r="A66" s="8">
        <v>43404</v>
      </c>
      <c r="B66" s="9">
        <v>85.25</v>
      </c>
      <c r="C66" s="9">
        <v>104.59</v>
      </c>
    </row>
    <row r="67" spans="1:3" x14ac:dyDescent="0.35">
      <c r="A67" s="8">
        <v>43373</v>
      </c>
      <c r="B67" s="9">
        <v>91.8</v>
      </c>
      <c r="C67" s="9">
        <v>105.52</v>
      </c>
    </row>
    <row r="68" spans="1:3" x14ac:dyDescent="0.35">
      <c r="A68" s="8">
        <v>43343</v>
      </c>
      <c r="B68" s="9">
        <v>91.12</v>
      </c>
      <c r="C68" s="9">
        <v>106.41</v>
      </c>
    </row>
    <row r="69" spans="1:3" x14ac:dyDescent="0.35">
      <c r="A69" s="8">
        <v>43312</v>
      </c>
      <c r="B69" s="9">
        <v>90.09</v>
      </c>
      <c r="C69" s="9">
        <v>106.06</v>
      </c>
    </row>
    <row r="70" spans="1:3" x14ac:dyDescent="0.35">
      <c r="A70" s="8">
        <v>43281</v>
      </c>
      <c r="B70" s="9">
        <v>87.46</v>
      </c>
      <c r="C70" s="9">
        <v>106.32</v>
      </c>
    </row>
    <row r="71" spans="1:3" x14ac:dyDescent="0.35">
      <c r="A71" s="8">
        <v>43251</v>
      </c>
      <c r="B71" s="9">
        <v>88.36</v>
      </c>
      <c r="C71" s="9">
        <v>106.46</v>
      </c>
    </row>
    <row r="72" spans="1:3" x14ac:dyDescent="0.35">
      <c r="A72" s="8">
        <v>43220</v>
      </c>
      <c r="B72" s="9">
        <v>87.775400000000005</v>
      </c>
      <c r="C72" s="9">
        <v>106</v>
      </c>
    </row>
    <row r="73" spans="1:3" x14ac:dyDescent="0.35">
      <c r="A73" s="8">
        <v>43190</v>
      </c>
      <c r="B73" s="9">
        <v>87.13</v>
      </c>
      <c r="C73" s="9">
        <v>107.25</v>
      </c>
    </row>
    <row r="74" spans="1:3" x14ac:dyDescent="0.35">
      <c r="A74" s="8">
        <v>43159</v>
      </c>
      <c r="B74" s="9">
        <v>88.64</v>
      </c>
      <c r="C74" s="9">
        <v>106.77</v>
      </c>
    </row>
    <row r="75" spans="1:3" x14ac:dyDescent="0.35">
      <c r="A75" s="8">
        <v>43131</v>
      </c>
      <c r="B75" s="9">
        <v>92.68</v>
      </c>
      <c r="C75" s="9">
        <v>108.1</v>
      </c>
    </row>
    <row r="76" spans="1:3" x14ac:dyDescent="0.35">
      <c r="A76" s="8">
        <v>43100</v>
      </c>
      <c r="B76" s="9">
        <v>88.11</v>
      </c>
      <c r="C76" s="9">
        <v>109.33</v>
      </c>
    </row>
    <row r="77" spans="1:3" x14ac:dyDescent="0.35">
      <c r="A77" s="8">
        <v>43069</v>
      </c>
      <c r="B77" s="9">
        <v>87.56</v>
      </c>
      <c r="C77" s="9">
        <v>109.08</v>
      </c>
    </row>
    <row r="78" spans="1:3" x14ac:dyDescent="0.35">
      <c r="A78" s="8">
        <v>43039</v>
      </c>
      <c r="B78" s="9">
        <v>85.88</v>
      </c>
      <c r="C78" s="9">
        <v>109.47</v>
      </c>
    </row>
    <row r="79" spans="1:3" x14ac:dyDescent="0.35">
      <c r="A79" s="8">
        <v>43008</v>
      </c>
      <c r="B79" s="9">
        <v>84.09</v>
      </c>
      <c r="C79" s="9">
        <v>109.59</v>
      </c>
    </row>
    <row r="80" spans="1:3" x14ac:dyDescent="0.35">
      <c r="A80" s="8">
        <v>42978</v>
      </c>
      <c r="B80" s="9">
        <v>82.35</v>
      </c>
      <c r="C80" s="9">
        <v>110.45</v>
      </c>
    </row>
    <row r="81" spans="1:3" x14ac:dyDescent="0.35">
      <c r="A81" s="8">
        <v>42947</v>
      </c>
      <c r="B81" s="9">
        <v>82.28</v>
      </c>
      <c r="C81" s="9">
        <v>109.65</v>
      </c>
    </row>
    <row r="82" spans="1:3" x14ac:dyDescent="0.35">
      <c r="A82" s="8">
        <v>42916</v>
      </c>
      <c r="B82" s="9">
        <v>80.33</v>
      </c>
      <c r="C82" s="9">
        <v>109.51</v>
      </c>
    </row>
    <row r="83" spans="1:3" x14ac:dyDescent="0.35">
      <c r="A83" s="8">
        <v>42886</v>
      </c>
      <c r="B83" s="9">
        <v>80.83</v>
      </c>
      <c r="C83" s="9">
        <v>109.76</v>
      </c>
    </row>
    <row r="84" spans="1:3" x14ac:dyDescent="0.35">
      <c r="A84" s="8">
        <v>42855</v>
      </c>
      <c r="B84" s="9">
        <v>79.180000000000007</v>
      </c>
      <c r="C84" s="9">
        <v>109.25</v>
      </c>
    </row>
    <row r="85" spans="1:3" x14ac:dyDescent="0.35">
      <c r="A85" s="8">
        <v>42825</v>
      </c>
      <c r="B85" s="9">
        <v>77.87</v>
      </c>
      <c r="C85" s="9">
        <v>108.49</v>
      </c>
    </row>
    <row r="86" spans="1:3" x14ac:dyDescent="0.35">
      <c r="A86" s="8">
        <v>42794</v>
      </c>
      <c r="B86" s="9">
        <v>77.08</v>
      </c>
      <c r="C86" s="9">
        <v>108.77</v>
      </c>
    </row>
    <row r="87" spans="1:3" x14ac:dyDescent="0.35">
      <c r="A87" s="8">
        <v>42766</v>
      </c>
      <c r="B87" s="9">
        <v>75.11</v>
      </c>
      <c r="C87" s="9">
        <v>108.29</v>
      </c>
    </row>
    <row r="88" spans="1:3" x14ac:dyDescent="0.35">
      <c r="A88" s="8">
        <v>42735</v>
      </c>
      <c r="B88" s="9">
        <v>73.08</v>
      </c>
      <c r="C88" s="9">
        <v>108.06</v>
      </c>
    </row>
    <row r="89" spans="1:3" x14ac:dyDescent="0.35">
      <c r="A89" s="8">
        <v>42704</v>
      </c>
      <c r="B89" s="9">
        <v>72.31</v>
      </c>
      <c r="C89" s="9">
        <v>108.24</v>
      </c>
    </row>
    <row r="90" spans="1:3" x14ac:dyDescent="0.35">
      <c r="A90" s="8">
        <v>42674</v>
      </c>
      <c r="B90" s="9">
        <v>71.12</v>
      </c>
      <c r="C90" s="9">
        <v>111.3</v>
      </c>
    </row>
    <row r="91" spans="1:3" x14ac:dyDescent="0.35">
      <c r="A91" s="8">
        <v>42643</v>
      </c>
      <c r="B91" s="9">
        <v>72.66</v>
      </c>
      <c r="C91" s="9">
        <v>112.42</v>
      </c>
    </row>
    <row r="92" spans="1:3" x14ac:dyDescent="0.35">
      <c r="A92" s="8">
        <v>42613</v>
      </c>
      <c r="B92" s="9">
        <v>72.45</v>
      </c>
      <c r="C92" s="9">
        <v>112.57</v>
      </c>
    </row>
    <row r="93" spans="1:3" x14ac:dyDescent="0.35">
      <c r="A93" s="8">
        <v>42582</v>
      </c>
      <c r="B93" s="9">
        <v>72.209999999999994</v>
      </c>
      <c r="C93" s="9">
        <v>113.02</v>
      </c>
    </row>
    <row r="94" spans="1:3" x14ac:dyDescent="0.35">
      <c r="A94" s="8">
        <v>42551</v>
      </c>
      <c r="B94" s="9">
        <v>69.33</v>
      </c>
      <c r="C94" s="9">
        <v>112.61499999999999</v>
      </c>
    </row>
    <row r="95" spans="1:3" x14ac:dyDescent="0.35">
      <c r="A95" s="8">
        <v>42521</v>
      </c>
      <c r="B95" s="9">
        <v>70.680000000000007</v>
      </c>
      <c r="C95" s="9">
        <v>110.7</v>
      </c>
    </row>
    <row r="96" spans="1:3" x14ac:dyDescent="0.35">
      <c r="A96" s="8">
        <v>42490</v>
      </c>
      <c r="B96" s="9">
        <v>70.11</v>
      </c>
      <c r="C96" s="9">
        <v>110.89</v>
      </c>
    </row>
    <row r="97" spans="1:3" x14ac:dyDescent="0.35">
      <c r="A97" s="8">
        <v>42460</v>
      </c>
      <c r="B97" s="9">
        <v>69.370099999999994</v>
      </c>
      <c r="C97" s="9">
        <v>110.825</v>
      </c>
    </row>
    <row r="98" spans="1:3" x14ac:dyDescent="0.35">
      <c r="A98" s="8">
        <v>42429</v>
      </c>
      <c r="B98" s="9">
        <v>64.97</v>
      </c>
      <c r="C98" s="9">
        <v>110.09</v>
      </c>
    </row>
    <row r="99" spans="1:3" x14ac:dyDescent="0.35">
      <c r="A99" s="8">
        <v>42400</v>
      </c>
      <c r="B99" s="9">
        <v>65.349999999999994</v>
      </c>
      <c r="C99" s="9">
        <v>109.35</v>
      </c>
    </row>
    <row r="100" spans="1:3" x14ac:dyDescent="0.35">
      <c r="A100" s="8">
        <v>42369</v>
      </c>
      <c r="B100" s="9">
        <v>69.599999999999994</v>
      </c>
      <c r="C100" s="9">
        <v>108.01</v>
      </c>
    </row>
    <row r="101" spans="1:3" x14ac:dyDescent="0.35">
      <c r="A101" s="8">
        <v>42338</v>
      </c>
      <c r="B101" s="9">
        <v>71.62</v>
      </c>
      <c r="C101" s="9">
        <v>108.81</v>
      </c>
    </row>
    <row r="102" spans="1:3" x14ac:dyDescent="0.35">
      <c r="A102" s="8">
        <v>42308</v>
      </c>
      <c r="B102" s="9">
        <v>71.42</v>
      </c>
      <c r="C102" s="9">
        <v>109.45</v>
      </c>
    </row>
    <row r="103" spans="1:3" x14ac:dyDescent="0.35">
      <c r="A103" s="8">
        <v>42277</v>
      </c>
      <c r="B103" s="9">
        <v>66.77</v>
      </c>
      <c r="C103" s="9">
        <v>109.58</v>
      </c>
    </row>
    <row r="104" spans="1:3" x14ac:dyDescent="0.35">
      <c r="A104" s="8">
        <v>42247</v>
      </c>
      <c r="B104" s="9">
        <v>69.23</v>
      </c>
      <c r="C104" s="9">
        <v>108.92</v>
      </c>
    </row>
    <row r="105" spans="1:3" x14ac:dyDescent="0.35">
      <c r="A105" s="8">
        <v>42216</v>
      </c>
      <c r="B105" s="9">
        <v>74.099999999999994</v>
      </c>
      <c r="C105" s="9">
        <v>109.5</v>
      </c>
    </row>
    <row r="106" spans="1:3" x14ac:dyDescent="0.35">
      <c r="A106" s="8">
        <v>42185</v>
      </c>
      <c r="B106" s="9">
        <v>72.2</v>
      </c>
      <c r="C106" s="9">
        <v>108.78</v>
      </c>
    </row>
    <row r="107" spans="1:3" x14ac:dyDescent="0.35">
      <c r="A107" s="8">
        <v>42155</v>
      </c>
      <c r="B107" s="9">
        <v>75.099999999999994</v>
      </c>
      <c r="C107" s="9">
        <v>110.17</v>
      </c>
    </row>
    <row r="108" spans="1:3" x14ac:dyDescent="0.35">
      <c r="A108" s="8">
        <v>42124</v>
      </c>
      <c r="B108" s="9">
        <v>74.78</v>
      </c>
      <c r="C108" s="9">
        <v>110.86</v>
      </c>
    </row>
    <row r="109" spans="1:3" x14ac:dyDescent="0.35">
      <c r="A109" s="8">
        <v>42094</v>
      </c>
      <c r="B109" s="9">
        <v>73.47</v>
      </c>
      <c r="C109" s="9">
        <v>111.43</v>
      </c>
    </row>
    <row r="110" spans="1:3" x14ac:dyDescent="0.35">
      <c r="A110" s="8">
        <v>42063</v>
      </c>
      <c r="B110" s="9">
        <v>74.540000000000006</v>
      </c>
      <c r="C110" s="9">
        <v>111.2</v>
      </c>
    </row>
    <row r="111" spans="1:3" x14ac:dyDescent="0.35">
      <c r="A111" s="8">
        <v>42035</v>
      </c>
      <c r="B111" s="9">
        <v>69.87</v>
      </c>
      <c r="C111" s="9">
        <v>112.38</v>
      </c>
    </row>
    <row r="112" spans="1:3" x14ac:dyDescent="0.35">
      <c r="A112" s="8">
        <v>42004</v>
      </c>
      <c r="B112" s="9">
        <v>71.66</v>
      </c>
      <c r="C112" s="9">
        <v>110.12</v>
      </c>
    </row>
    <row r="113" spans="1:3" x14ac:dyDescent="0.35">
      <c r="A113" s="8">
        <v>41973</v>
      </c>
      <c r="B113" s="9">
        <v>73.28</v>
      </c>
      <c r="C113" s="9">
        <v>110.61</v>
      </c>
    </row>
    <row r="114" spans="1:3" x14ac:dyDescent="0.35">
      <c r="A114" s="8">
        <v>41943</v>
      </c>
      <c r="B114" s="9">
        <v>71.989999999999995</v>
      </c>
      <c r="C114" s="9">
        <v>110.08</v>
      </c>
    </row>
    <row r="115" spans="1:3" x14ac:dyDescent="0.35">
      <c r="A115" s="8">
        <v>41912</v>
      </c>
      <c r="B115" s="9">
        <v>71.38</v>
      </c>
      <c r="C115" s="9">
        <v>109.11</v>
      </c>
    </row>
    <row r="116" spans="1:3" x14ac:dyDescent="0.35">
      <c r="A116" s="8">
        <v>41882</v>
      </c>
      <c r="B116" s="9">
        <v>73.75</v>
      </c>
      <c r="C116" s="9">
        <v>109.98</v>
      </c>
    </row>
    <row r="117" spans="1:3" x14ac:dyDescent="0.35">
      <c r="A117" s="8">
        <v>41851</v>
      </c>
      <c r="B117" s="9">
        <v>71.762500000000003</v>
      </c>
      <c r="C117" s="9">
        <v>108.93</v>
      </c>
    </row>
    <row r="118" spans="1:3" x14ac:dyDescent="0.35">
      <c r="A118" s="8">
        <v>41820</v>
      </c>
      <c r="B118" s="9">
        <v>72.959999999999994</v>
      </c>
      <c r="C118" s="9">
        <v>109.4</v>
      </c>
    </row>
    <row r="119" spans="1:3" x14ac:dyDescent="0.35">
      <c r="A119" s="8">
        <v>41790</v>
      </c>
      <c r="B119" s="9">
        <v>73</v>
      </c>
      <c r="C119" s="9">
        <v>109.67</v>
      </c>
    </row>
    <row r="120" spans="1:3" x14ac:dyDescent="0.35">
      <c r="A120" s="8">
        <v>41759</v>
      </c>
      <c r="B120" s="9">
        <v>70.75</v>
      </c>
      <c r="C120" s="9">
        <v>108.59</v>
      </c>
    </row>
    <row r="121" spans="1:3" x14ac:dyDescent="0.35">
      <c r="A121" s="8">
        <v>41729</v>
      </c>
      <c r="B121" s="9">
        <v>71.194000000000003</v>
      </c>
      <c r="C121" s="9">
        <v>107.91</v>
      </c>
    </row>
  </sheetData>
  <pageMargins left="0.7" right="0.7" top="0.75" bottom="0.75" header="0.3" footer="0.3"/>
  <pageSetup paperSize="9" orientation="portrait" r:id="rId1"/>
  <headerFooter>
    <oddHeader>&amp;C&amp;"Calibri"&amp;12&amp;KEEDC00RMIT Classification: Trusted&amp;1#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711A-F84E-4D91-988B-9A1B0C064CFE}">
  <dimension ref="A1:T177"/>
  <sheetViews>
    <sheetView tabSelected="1" zoomScaleNormal="100" workbookViewId="0">
      <selection activeCell="H12" sqref="H12"/>
    </sheetView>
  </sheetViews>
  <sheetFormatPr defaultRowHeight="14.5" x14ac:dyDescent="0.35"/>
  <cols>
    <col min="1" max="1" width="12.1796875" bestFit="1" customWidth="1"/>
    <col min="2" max="2" width="47.453125" customWidth="1"/>
    <col min="3" max="3" width="12.453125" customWidth="1"/>
    <col min="4" max="4" width="12" customWidth="1"/>
    <col min="5" max="5" width="11.6328125" customWidth="1"/>
    <col min="6" max="6" width="7.453125" customWidth="1"/>
    <col min="7" max="7" width="12.54296875" bestFit="1" customWidth="1"/>
    <col min="8" max="8" width="12.6328125" bestFit="1" customWidth="1"/>
    <col min="9" max="9" width="7.453125" bestFit="1" customWidth="1"/>
    <col min="10" max="11" width="6.453125" bestFit="1" customWidth="1"/>
    <col min="12" max="12" width="10.81640625" bestFit="1" customWidth="1"/>
    <col min="13" max="13" width="9.1796875" bestFit="1" customWidth="1"/>
    <col min="14" max="16" width="9.6328125" bestFit="1" customWidth="1"/>
    <col min="17" max="17" width="5.81640625" bestFit="1" customWidth="1"/>
    <col min="18" max="18" width="22.36328125" bestFit="1" customWidth="1"/>
  </cols>
  <sheetData>
    <row r="1" spans="1:18" ht="15.5" x14ac:dyDescent="0.35">
      <c r="A1" s="1"/>
      <c r="B1" s="10" t="s">
        <v>1</v>
      </c>
      <c r="C1" s="14">
        <v>7</v>
      </c>
      <c r="D1" s="2"/>
      <c r="E1" s="1"/>
    </row>
    <row r="2" spans="1:18" ht="15.5" x14ac:dyDescent="0.35">
      <c r="A2" s="1"/>
      <c r="B2" s="11" t="s">
        <v>2</v>
      </c>
      <c r="C2" s="12">
        <v>1.2500000000000001E-2</v>
      </c>
      <c r="D2" s="1"/>
      <c r="E2" s="1"/>
    </row>
    <row r="3" spans="1:18" ht="15.5" x14ac:dyDescent="0.35">
      <c r="A3" s="1"/>
      <c r="B3" s="11" t="s">
        <v>13</v>
      </c>
      <c r="C3" s="12">
        <f>4.5%+IF(OR(C1=0,MOD(C1,3)=0),1.5%,IF(MOD(C1,3)=1,2%,2.5%))</f>
        <v>6.5000000000000002E-2</v>
      </c>
      <c r="D3" s="1"/>
      <c r="E3" s="1"/>
    </row>
    <row r="4" spans="1:18" x14ac:dyDescent="0.35">
      <c r="A4" s="1"/>
      <c r="B4" s="1"/>
      <c r="C4" s="3"/>
      <c r="D4" s="3"/>
      <c r="E4" s="1"/>
    </row>
    <row r="5" spans="1:18" x14ac:dyDescent="0.35">
      <c r="A5" s="1"/>
      <c r="B5" s="4"/>
      <c r="C5" s="1"/>
      <c r="D5" s="1"/>
      <c r="E5" s="1"/>
    </row>
    <row r="6" spans="1:18" x14ac:dyDescent="0.35">
      <c r="A6" s="1"/>
      <c r="B6" s="1"/>
      <c r="C6" s="1"/>
      <c r="D6" s="1"/>
      <c r="E6" s="1"/>
    </row>
    <row r="7" spans="1:18" ht="15.5" x14ac:dyDescent="0.35">
      <c r="A7" s="10"/>
      <c r="B7" s="11" t="s">
        <v>3</v>
      </c>
      <c r="C7" s="11" t="s">
        <v>4</v>
      </c>
      <c r="D7" s="11" t="s">
        <v>5</v>
      </c>
      <c r="E7" s="11" t="s">
        <v>6</v>
      </c>
      <c r="H7" t="s">
        <v>24</v>
      </c>
      <c r="I7" s="11" t="s">
        <v>4</v>
      </c>
      <c r="J7" s="11" t="s">
        <v>5</v>
      </c>
      <c r="K7" s="11" t="s">
        <v>6</v>
      </c>
      <c r="M7" s="20" t="s">
        <v>25</v>
      </c>
      <c r="N7" s="11" t="s">
        <v>4</v>
      </c>
      <c r="O7" s="21" t="s">
        <v>5</v>
      </c>
      <c r="P7" s="21" t="s">
        <v>6</v>
      </c>
      <c r="R7" s="24" t="s">
        <v>28</v>
      </c>
    </row>
    <row r="8" spans="1:18" ht="15.5" x14ac:dyDescent="0.35">
      <c r="A8" s="10" t="s">
        <v>7</v>
      </c>
      <c r="B8" s="12">
        <f>30%+IF(OR(C1=0,MOD(C1,3)=0),1%,IF(MOD(C1,3)=1,1.5%,2%))</f>
        <v>0.315</v>
      </c>
      <c r="C8" s="13">
        <f>-9%-IF(OR(C1=0,MOD(C1,3)=0),1.25%,IF(MOD(C1,3)=1,1.75%,2.25%))</f>
        <v>-0.1075</v>
      </c>
      <c r="D8" s="13">
        <f>-3%-IF(OR(C1=0,MOD(C1,3)=0),0.3%,IF(MOD(C1,3)=1,0.6%,0.9%))</f>
        <v>-3.5999999999999997E-2</v>
      </c>
      <c r="E8" s="12">
        <f>0.75%+IF(OR(C1=0,MOD(C1,3)=0),0.06%,IF(MOD(C1,3)=1,0.12%,0.18%))</f>
        <v>8.6999999999999994E-3</v>
      </c>
      <c r="I8" s="19">
        <f>C8-$C$14</f>
        <v>-0.13851750000000002</v>
      </c>
      <c r="J8" s="19">
        <f>D8-$D$14</f>
        <v>-5.2655E-2</v>
      </c>
      <c r="K8" s="19">
        <f>E8-$E$14</f>
        <v>1.8379999999999994E-3</v>
      </c>
      <c r="M8" s="20"/>
      <c r="N8" s="22">
        <f>I8^2</f>
        <v>1.9187097806250004E-2</v>
      </c>
      <c r="O8" s="22">
        <f t="shared" ref="O8:P8" si="0">J8^2</f>
        <v>2.7725490249999999E-3</v>
      </c>
      <c r="P8" s="22">
        <f t="shared" si="0"/>
        <v>3.3782439999999975E-6</v>
      </c>
      <c r="R8" s="19">
        <f>I8*J8</f>
        <v>7.2936389625000006E-3</v>
      </c>
    </row>
    <row r="9" spans="1:18" ht="15.5" x14ac:dyDescent="0.35">
      <c r="A9" s="10" t="s">
        <v>8</v>
      </c>
      <c r="B9" s="12">
        <f>28%-IF(OR(C1=0,MOD(C1,3)=0),1%,IF(MOD(C1,3)=1,1.5%,2%))</f>
        <v>0.26500000000000001</v>
      </c>
      <c r="C9" s="13">
        <f>-2.25%-IF(OR(C1=0,MOD(C1,3)=0),0.3%,IF(MOD(C1,3)=1,0.6%,0.9%))</f>
        <v>-2.8499999999999998E-2</v>
      </c>
      <c r="D9" s="13">
        <f>5.75%-IF(OR(C1=0,MOD(C1,3)=0),0.2%,IF(MOD(C1,3)=1,0.4%,0.6%))</f>
        <v>5.3500000000000006E-2</v>
      </c>
      <c r="E9" s="12">
        <f>0.65%+IF(OR(C1=0,MOD(C1,3)=0),0.06%,IF(MOD(C1,3)=1,0.12%,0.18%))</f>
        <v>7.7000000000000002E-3</v>
      </c>
      <c r="I9" s="19">
        <f>C9-$C$14</f>
        <v>-5.9517500000000001E-2</v>
      </c>
      <c r="J9" s="19">
        <f>D9-$D$14</f>
        <v>3.6845000000000003E-2</v>
      </c>
      <c r="K9" s="19">
        <f>E9-$E$14</f>
        <v>8.380000000000002E-4</v>
      </c>
      <c r="M9" s="20"/>
      <c r="N9" s="22">
        <f t="shared" ref="N9:N11" si="1">I9^2</f>
        <v>3.54233280625E-3</v>
      </c>
      <c r="O9" s="22">
        <f t="shared" ref="O9:O11" si="2">J9^2</f>
        <v>1.3575540250000003E-3</v>
      </c>
      <c r="P9" s="22">
        <f t="shared" ref="P9:P11" si="3">K9^2</f>
        <v>7.0224400000000029E-7</v>
      </c>
      <c r="R9" s="19">
        <f>I9*J9</f>
        <v>-2.1929222875000003E-3</v>
      </c>
    </row>
    <row r="10" spans="1:18" ht="15.5" x14ac:dyDescent="0.35">
      <c r="A10" s="10" t="s">
        <v>9</v>
      </c>
      <c r="B10" s="12">
        <f>13%+IF(OR(C1=0,MOD(C1,3)=0),1%,IF(MOD(C1,3)=1,1.5%,2%))</f>
        <v>0.14500000000000002</v>
      </c>
      <c r="C10" s="13">
        <f>10%+IF(OR(C1=0,MOD(C1,3)=0),0.3%,IF(MOD(C1,3)=1,0.6%,0.9%))</f>
        <v>0.10600000000000001</v>
      </c>
      <c r="D10" s="13">
        <f>3.25%+IF(OR(C1=0,MOD(C1,3)=0),0.2%,IF(MOD(C1,3)=1,0.4%,0.6%))</f>
        <v>3.6500000000000005E-2</v>
      </c>
      <c r="E10" s="12">
        <f>0.55%-IF(OR(C1=0,MOD(C1,3)=0),0.06%,IF(MOD(C1,3)=1,0.12%,0.18%))</f>
        <v>4.3000000000000009E-3</v>
      </c>
      <c r="I10" s="19">
        <f>C10-$C$14</f>
        <v>7.4982500000000007E-2</v>
      </c>
      <c r="J10" s="19">
        <f>D10-$D$14</f>
        <v>1.9845000000000002E-2</v>
      </c>
      <c r="K10" s="19">
        <f>E10-$E$14</f>
        <v>-2.5619999999999992E-3</v>
      </c>
      <c r="M10" s="20"/>
      <c r="N10" s="22">
        <f>I10^2</f>
        <v>5.6223753062500008E-3</v>
      </c>
      <c r="O10" s="22">
        <f>J10^2</f>
        <v>3.9382402500000004E-4</v>
      </c>
      <c r="P10" s="22">
        <f t="shared" si="3"/>
        <v>6.5638439999999959E-6</v>
      </c>
      <c r="R10" s="19">
        <f>I10*J10</f>
        <v>1.4880277125000002E-3</v>
      </c>
    </row>
    <row r="11" spans="1:18" ht="15.5" x14ac:dyDescent="0.35">
      <c r="A11" s="10" t="s">
        <v>10</v>
      </c>
      <c r="B11" s="12">
        <f>29%-IF(OR(C1=0,MOD(C1,3)=0),1%,IF(MOD(C1,3)=1,1.5%,2%))</f>
        <v>0.27499999999999997</v>
      </c>
      <c r="C11" s="13">
        <f>19%+IF(OR(C1=0,MOD(C1,3)=0),1.25%,IF(MOD(C1,3)=1,1.75%,2.25%))</f>
        <v>0.20750000000000002</v>
      </c>
      <c r="D11" s="13">
        <f>2.5%+IF(OR(C1=0,MOD(C1,3)=0),0.3%,IF(MOD(C1,3)=1,0.6%,0.9%))</f>
        <v>3.1E-2</v>
      </c>
      <c r="E11" s="12">
        <f>0.65%-IF(OR(C1=0,MOD(C1,3)=0),0.06%,IF(MOD(C1,3)=1,0.12%,0.18%))</f>
        <v>5.3000000000000009E-3</v>
      </c>
      <c r="I11" s="19">
        <f>C11-$C$14</f>
        <v>0.17648250000000001</v>
      </c>
      <c r="J11" s="19">
        <f>D11-$D$14</f>
        <v>1.4344999999999997E-2</v>
      </c>
      <c r="K11" s="19">
        <f>E11-$E$14</f>
        <v>-1.5619999999999992E-3</v>
      </c>
      <c r="M11" s="20"/>
      <c r="N11" s="22">
        <f t="shared" si="1"/>
        <v>3.1146072806250005E-2</v>
      </c>
      <c r="O11" s="22">
        <f t="shared" si="2"/>
        <v>2.0577902499999991E-4</v>
      </c>
      <c r="P11" s="22">
        <f t="shared" si="3"/>
        <v>2.4398439999999973E-6</v>
      </c>
      <c r="R11" s="19">
        <f>I11*J11</f>
        <v>2.5316414624999995E-3</v>
      </c>
    </row>
    <row r="12" spans="1:18" x14ac:dyDescent="0.35">
      <c r="B12" s="19"/>
    </row>
    <row r="13" spans="1:18" ht="15.5" x14ac:dyDescent="0.35">
      <c r="A13" s="18"/>
      <c r="B13" s="32" t="s">
        <v>29</v>
      </c>
      <c r="C13" s="11" t="s">
        <v>4</v>
      </c>
      <c r="D13" s="11" t="s">
        <v>5</v>
      </c>
      <c r="E13" s="11" t="s">
        <v>6</v>
      </c>
    </row>
    <row r="14" spans="1:18" x14ac:dyDescent="0.35">
      <c r="A14" s="26"/>
      <c r="B14" t="s">
        <v>20</v>
      </c>
      <c r="C14" s="17">
        <f>SUMPRODUCT(C8:C11,$B$8:$B$11)</f>
        <v>3.1017500000000003E-2</v>
      </c>
      <c r="D14" s="17">
        <f>SUMPRODUCT(D8:D11,$B$8:$B$11)</f>
        <v>1.6655000000000003E-2</v>
      </c>
      <c r="E14" s="17">
        <f>SUMPRODUCT(E8:E11,$B$8:$B$11)</f>
        <v>6.862E-3</v>
      </c>
      <c r="K14" s="28"/>
      <c r="L14" s="28"/>
    </row>
    <row r="15" spans="1:18" x14ac:dyDescent="0.35">
      <c r="B15" t="s">
        <v>21</v>
      </c>
      <c r="C15" s="17">
        <f>SQRT(SUMPRODUCT(N8:N11,$B$8:$B$11))</f>
        <v>0.12791820997711781</v>
      </c>
      <c r="D15" s="17">
        <f>SQRT(SUMPRODUCT(O8:O11,$B$8:$B$11))</f>
        <v>3.6698753044211191E-2</v>
      </c>
      <c r="E15" s="17">
        <f>SQRT(SUMPRODUCT(P8:P11,$B$8:$B$11))</f>
        <v>1.6949796458954893E-3</v>
      </c>
    </row>
    <row r="16" spans="1:18" x14ac:dyDescent="0.35">
      <c r="B16" t="s">
        <v>22</v>
      </c>
      <c r="C16" s="38">
        <f>SUMPRODUCT(R8:R11,B8:B11)</f>
        <v>2.6283372875000001E-3</v>
      </c>
    </row>
    <row r="17" spans="2:20" x14ac:dyDescent="0.35">
      <c r="B17" t="s">
        <v>23</v>
      </c>
      <c r="C17" s="29">
        <f>C16/(C15*D15)</f>
        <v>0.55988317255885345</v>
      </c>
      <c r="K17" s="23"/>
    </row>
    <row r="18" spans="2:20" ht="15.5" x14ac:dyDescent="0.35">
      <c r="B18" t="s">
        <v>31</v>
      </c>
      <c r="C18" s="11" t="s">
        <v>4</v>
      </c>
      <c r="D18" s="11" t="s">
        <v>5</v>
      </c>
      <c r="H18" s="23"/>
    </row>
    <row r="19" spans="2:20" x14ac:dyDescent="0.35">
      <c r="C19" s="25">
        <v>0.65</v>
      </c>
      <c r="D19" s="25">
        <f>1-C19</f>
        <v>0.35</v>
      </c>
    </row>
    <row r="20" spans="2:20" x14ac:dyDescent="0.35">
      <c r="B20" t="s">
        <v>26</v>
      </c>
      <c r="C20" s="19">
        <f>C19*C14+D19*D14</f>
        <v>2.5990625000000003E-2</v>
      </c>
    </row>
    <row r="21" spans="2:20" x14ac:dyDescent="0.35">
      <c r="B21" t="s">
        <v>27</v>
      </c>
      <c r="C21" s="17">
        <f>SQRT((C19*C15)^2+(D19*D15)^2+2*C19*D19*C16)</f>
        <v>9.0963029283794058E-2</v>
      </c>
    </row>
    <row r="23" spans="2:20" x14ac:dyDescent="0.35">
      <c r="B23" s="32" t="s">
        <v>30</v>
      </c>
    </row>
    <row r="24" spans="2:20" ht="15.5" x14ac:dyDescent="0.35">
      <c r="B24" t="s">
        <v>34</v>
      </c>
      <c r="N24" s="11" t="s">
        <v>4</v>
      </c>
      <c r="O24" s="11" t="s">
        <v>5</v>
      </c>
      <c r="P24" s="11" t="s">
        <v>33</v>
      </c>
      <c r="Q24" s="11" t="s">
        <v>32</v>
      </c>
    </row>
    <row r="25" spans="2:20" x14ac:dyDescent="0.35">
      <c r="N25" s="25">
        <v>-1</v>
      </c>
      <c r="O25" s="25">
        <f>1-N25</f>
        <v>2</v>
      </c>
      <c r="P25" s="30">
        <f>SQRT((N25*$C$15)^2+(O25*$D$15)^2+2*N25*O25*$C$16)</f>
        <v>0.10600430743017004</v>
      </c>
      <c r="Q25" s="19">
        <f>N25*$C$14+O25*$D$14</f>
        <v>2.2925000000000029E-3</v>
      </c>
    </row>
    <row r="26" spans="2:20" x14ac:dyDescent="0.35">
      <c r="N26" s="25">
        <v>-0.98</v>
      </c>
      <c r="O26" s="25">
        <f t="shared" ref="O26:O89" si="4">1-N26</f>
        <v>1.98</v>
      </c>
      <c r="P26" s="30">
        <f t="shared" ref="P26:P36" si="5">SQRT((N26*$C$15)^2+(O26*$D$15)^2+2*N26*O26*$C$16)</f>
        <v>0.10389912573952441</v>
      </c>
      <c r="Q26" s="19">
        <f t="shared" ref="Q25:Q56" si="6">N26*$C$14+O26*$D$14</f>
        <v>2.5797500000000022E-3</v>
      </c>
      <c r="R26" s="25"/>
    </row>
    <row r="27" spans="2:20" x14ac:dyDescent="0.35">
      <c r="N27" s="25">
        <v>-0.96</v>
      </c>
      <c r="O27" s="25">
        <f t="shared" si="4"/>
        <v>1.96</v>
      </c>
      <c r="P27" s="30">
        <f t="shared" si="5"/>
        <v>0.10179934193795166</v>
      </c>
      <c r="Q27" s="19">
        <f t="shared" si="6"/>
        <v>2.867000000000005E-3</v>
      </c>
      <c r="S27" s="25"/>
      <c r="T27" s="25"/>
    </row>
    <row r="28" spans="2:20" x14ac:dyDescent="0.35">
      <c r="N28" s="25">
        <v>-0.94</v>
      </c>
      <c r="O28" s="25">
        <f t="shared" si="4"/>
        <v>1.94</v>
      </c>
      <c r="P28" s="30">
        <f t="shared" si="5"/>
        <v>9.9705297063082371E-2</v>
      </c>
      <c r="Q28" s="19">
        <f t="shared" si="6"/>
        <v>3.1542500000000043E-3</v>
      </c>
      <c r="S28" s="25"/>
      <c r="T28" s="25"/>
    </row>
    <row r="29" spans="2:20" x14ac:dyDescent="0.35">
      <c r="N29" s="25">
        <v>-0.92</v>
      </c>
      <c r="O29" s="25">
        <f t="shared" si="4"/>
        <v>1.92</v>
      </c>
      <c r="P29" s="30">
        <f t="shared" si="5"/>
        <v>9.761736044244386E-2</v>
      </c>
      <c r="Q29" s="19">
        <f t="shared" si="6"/>
        <v>3.4414999999999966E-3</v>
      </c>
      <c r="S29" s="25"/>
      <c r="T29" s="25"/>
    </row>
    <row r="30" spans="2:20" x14ac:dyDescent="0.35">
      <c r="N30" s="25">
        <v>-0.9</v>
      </c>
      <c r="O30" s="25">
        <f t="shared" si="4"/>
        <v>1.9</v>
      </c>
      <c r="P30" s="30">
        <f t="shared" si="5"/>
        <v>9.5535932564336762E-2</v>
      </c>
      <c r="Q30" s="19">
        <f t="shared" si="6"/>
        <v>3.7287500000000029E-3</v>
      </c>
      <c r="S30" s="25"/>
      <c r="T30" s="25"/>
    </row>
    <row r="31" spans="2:20" x14ac:dyDescent="0.35">
      <c r="N31" s="25">
        <v>-0.88</v>
      </c>
      <c r="O31" s="25">
        <f t="shared" si="4"/>
        <v>1.88</v>
      </c>
      <c r="P31" s="30">
        <f t="shared" si="5"/>
        <v>9.3461448287515861E-2</v>
      </c>
      <c r="Q31" s="19">
        <f t="shared" si="6"/>
        <v>4.0159999999999987E-3</v>
      </c>
      <c r="S31" s="25"/>
      <c r="T31" s="25"/>
    </row>
    <row r="32" spans="2:20" x14ac:dyDescent="0.35">
      <c r="N32" s="25">
        <v>-0.86</v>
      </c>
      <c r="O32" s="25">
        <f t="shared" si="4"/>
        <v>1.8599999999999999</v>
      </c>
      <c r="P32" s="30">
        <f t="shared" si="5"/>
        <v>9.1394380434124622E-2</v>
      </c>
      <c r="Q32" s="19">
        <f t="shared" si="6"/>
        <v>4.3032500000000015E-3</v>
      </c>
      <c r="S32" s="25"/>
      <c r="T32" s="25"/>
    </row>
    <row r="33" spans="2:20" x14ac:dyDescent="0.35">
      <c r="N33" s="25">
        <v>-0.84</v>
      </c>
      <c r="O33" s="25">
        <f t="shared" si="4"/>
        <v>1.8399999999999999</v>
      </c>
      <c r="P33" s="30">
        <f t="shared" si="5"/>
        <v>8.9335243816480406E-2</v>
      </c>
      <c r="Q33" s="19">
        <f t="shared" si="6"/>
        <v>4.5905000000000008E-3</v>
      </c>
      <c r="S33" s="25"/>
      <c r="T33" s="25"/>
    </row>
    <row r="34" spans="2:20" x14ac:dyDescent="0.35">
      <c r="N34" s="25">
        <v>-0.82</v>
      </c>
      <c r="O34" s="25">
        <f t="shared" si="4"/>
        <v>1.8199999999999998</v>
      </c>
      <c r="P34" s="30">
        <f t="shared" si="5"/>
        <v>8.7284599755268977E-2</v>
      </c>
      <c r="Q34" s="19">
        <f t="shared" si="6"/>
        <v>4.8777500000000001E-3</v>
      </c>
      <c r="R34" s="33"/>
      <c r="S34" s="25"/>
      <c r="T34" s="25"/>
    </row>
    <row r="35" spans="2:20" x14ac:dyDescent="0.35">
      <c r="N35" s="25">
        <v>-0.8</v>
      </c>
      <c r="O35" s="25">
        <f t="shared" si="4"/>
        <v>1.8</v>
      </c>
      <c r="P35" s="30">
        <f t="shared" si="5"/>
        <v>8.5243061154559679E-2</v>
      </c>
      <c r="Q35" s="19">
        <f t="shared" si="6"/>
        <v>5.1650000000000029E-3</v>
      </c>
      <c r="S35" s="25"/>
      <c r="T35" s="25"/>
    </row>
    <row r="36" spans="2:20" x14ac:dyDescent="0.35">
      <c r="N36" s="25">
        <v>-0.78</v>
      </c>
      <c r="O36" s="25">
        <f t="shared" si="4"/>
        <v>1.78</v>
      </c>
      <c r="P36" s="30">
        <f t="shared" si="5"/>
        <v>8.3211298207860579E-2</v>
      </c>
      <c r="Q36" s="19">
        <f t="shared" si="6"/>
        <v>5.4522500000000022E-3</v>
      </c>
      <c r="S36" s="25"/>
      <c r="T36" s="25"/>
    </row>
    <row r="37" spans="2:20" x14ac:dyDescent="0.35">
      <c r="N37" s="25">
        <v>-0.76</v>
      </c>
      <c r="O37" s="25">
        <f t="shared" si="4"/>
        <v>1.76</v>
      </c>
      <c r="P37" s="30">
        <f t="shared" ref="P26:P89" si="7">SQRT((N37*$C$15)^2+(O37*$D$15)^2+2*N37*O37*$C$16)</f>
        <v>8.1190044819238763E-2</v>
      </c>
      <c r="Q37" s="19">
        <f t="shared" si="6"/>
        <v>5.739500000000005E-3</v>
      </c>
      <c r="S37" s="25"/>
      <c r="T37" s="25"/>
    </row>
    <row r="38" spans="2:20" x14ac:dyDescent="0.35">
      <c r="N38" s="25">
        <v>-0.74</v>
      </c>
      <c r="O38" s="25">
        <f t="shared" si="4"/>
        <v>1.74</v>
      </c>
      <c r="P38" s="30">
        <f t="shared" si="7"/>
        <v>7.9180105834341374E-2</v>
      </c>
      <c r="Q38" s="19">
        <f t="shared" si="6"/>
        <v>6.0267500000000009E-3</v>
      </c>
      <c r="S38" s="25"/>
      <c r="T38" s="25"/>
    </row>
    <row r="39" spans="2:20" ht="15.5" x14ac:dyDescent="0.35">
      <c r="B39" t="s">
        <v>36</v>
      </c>
      <c r="C39" s="11" t="s">
        <v>35</v>
      </c>
      <c r="D39" s="11" t="s">
        <v>4</v>
      </c>
      <c r="E39" s="11" t="s">
        <v>5</v>
      </c>
      <c r="F39" s="11" t="s">
        <v>33</v>
      </c>
      <c r="G39" s="11" t="s">
        <v>32</v>
      </c>
      <c r="H39" s="11" t="s">
        <v>40</v>
      </c>
      <c r="N39" s="25">
        <v>-0.72</v>
      </c>
      <c r="O39" s="25">
        <f t="shared" si="4"/>
        <v>1.72</v>
      </c>
      <c r="P39" s="30">
        <f t="shared" si="7"/>
        <v>7.7182365187910648E-2</v>
      </c>
      <c r="Q39" s="19">
        <f t="shared" si="6"/>
        <v>6.3140000000000036E-3</v>
      </c>
      <c r="S39" s="25"/>
      <c r="T39" s="25"/>
    </row>
    <row r="40" spans="2:20" x14ac:dyDescent="0.35">
      <c r="B40" t="s">
        <v>49</v>
      </c>
      <c r="C40" s="31">
        <f>(D40*$C$15)^2+(E40*$D$15)^2+2*D40*E40*$C$16</f>
        <v>1.2149172928412615E-3</v>
      </c>
      <c r="D40" s="19">
        <v>-0.10290845730239029</v>
      </c>
      <c r="E40" s="19">
        <v>1.1029084573023904</v>
      </c>
      <c r="F40" s="30">
        <f>SQRT((D40*$C$15)^2+(E40*$D$15)^2+2*D40*E40*$C$16)</f>
        <v>3.4855663712534027E-2</v>
      </c>
      <c r="G40" s="19">
        <f>D40*$C$14+E40*$D$14</f>
        <v>1.5176977281994424E-2</v>
      </c>
      <c r="H40" s="25">
        <f>D40+E40</f>
        <v>1</v>
      </c>
      <c r="N40" s="25">
        <v>-0.7</v>
      </c>
      <c r="O40" s="25">
        <f t="shared" si="4"/>
        <v>1.7</v>
      </c>
      <c r="P40" s="30">
        <f t="shared" si="7"/>
        <v>7.519779508694055E-2</v>
      </c>
      <c r="Q40" s="19">
        <f t="shared" si="6"/>
        <v>6.6012500000000029E-3</v>
      </c>
      <c r="S40" s="25"/>
      <c r="T40" s="25"/>
    </row>
    <row r="41" spans="2:20" x14ac:dyDescent="0.35">
      <c r="N41" s="25">
        <v>-0.68</v>
      </c>
      <c r="O41" s="25">
        <f t="shared" si="4"/>
        <v>1.6800000000000002</v>
      </c>
      <c r="P41" s="30">
        <f t="shared" si="7"/>
        <v>7.3227466361673349E-2</v>
      </c>
      <c r="Q41" s="19">
        <f t="shared" si="6"/>
        <v>6.8885000000000057E-3</v>
      </c>
      <c r="S41" s="25"/>
      <c r="T41" s="25"/>
    </row>
    <row r="42" spans="2:20" x14ac:dyDescent="0.35">
      <c r="N42" s="25">
        <v>-0.66</v>
      </c>
      <c r="O42" s="25">
        <f t="shared" si="4"/>
        <v>1.6600000000000001</v>
      </c>
      <c r="P42" s="30">
        <f t="shared" si="7"/>
        <v>7.1272560129670551E-2</v>
      </c>
      <c r="Q42" s="19">
        <f t="shared" si="6"/>
        <v>7.175750000000005E-3</v>
      </c>
      <c r="S42" s="25"/>
      <c r="T42" s="25"/>
    </row>
    <row r="43" spans="2:20" x14ac:dyDescent="0.35">
      <c r="N43" s="25">
        <v>-0.64</v>
      </c>
      <c r="O43" s="25">
        <f t="shared" si="4"/>
        <v>1.6400000000000001</v>
      </c>
      <c r="P43" s="30">
        <f t="shared" si="7"/>
        <v>6.9334380930386921E-2</v>
      </c>
      <c r="Q43" s="19">
        <f t="shared" si="6"/>
        <v>7.4630000000000044E-3</v>
      </c>
      <c r="S43" s="25"/>
      <c r="T43" s="25"/>
    </row>
    <row r="44" spans="2:20" x14ac:dyDescent="0.35">
      <c r="N44" s="25">
        <v>-0.62</v>
      </c>
      <c r="O44" s="25">
        <f t="shared" si="4"/>
        <v>1.62</v>
      </c>
      <c r="P44" s="30">
        <f t="shared" si="7"/>
        <v>6.7414371497756337E-2</v>
      </c>
      <c r="Q44" s="19">
        <f t="shared" si="6"/>
        <v>7.7502500000000071E-3</v>
      </c>
      <c r="S44" s="25"/>
      <c r="T44" s="25"/>
    </row>
    <row r="45" spans="2:20" ht="15.5" x14ac:dyDescent="0.35">
      <c r="B45" t="s">
        <v>51</v>
      </c>
      <c r="C45" s="11" t="s">
        <v>37</v>
      </c>
      <c r="D45" s="11" t="s">
        <v>4</v>
      </c>
      <c r="E45" s="11" t="s">
        <v>5</v>
      </c>
      <c r="F45" s="11" t="s">
        <v>33</v>
      </c>
      <c r="G45" s="11" t="s">
        <v>32</v>
      </c>
      <c r="H45" s="11" t="s">
        <v>38</v>
      </c>
      <c r="I45" s="11" t="s">
        <v>40</v>
      </c>
      <c r="N45" s="25">
        <v>-0.6</v>
      </c>
      <c r="O45" s="25">
        <f t="shared" si="4"/>
        <v>1.6</v>
      </c>
      <c r="P45" s="30">
        <f t="shared" si="7"/>
        <v>6.5514129344363584E-2</v>
      </c>
      <c r="Q45" s="19">
        <f t="shared" si="6"/>
        <v>8.037500000000003E-3</v>
      </c>
      <c r="S45" s="25"/>
      <c r="T45" s="25"/>
    </row>
    <row r="46" spans="2:20" x14ac:dyDescent="0.35">
      <c r="B46" t="s">
        <v>50</v>
      </c>
      <c r="C46" s="19">
        <f>(G46-H46)/F46</f>
        <v>0.14987679896335773</v>
      </c>
      <c r="D46" s="19">
        <v>0.42051325368126985</v>
      </c>
      <c r="E46" s="19">
        <v>0.57948674631872998</v>
      </c>
      <c r="F46" s="30">
        <f>SQRT((D46*$C$15)^2+(E46*$D$15)^2+2*D46*E46*$C$16)</f>
        <v>6.8020011612935791E-2</v>
      </c>
      <c r="G46" s="19">
        <f>D46*$C$14+E46*$D$14</f>
        <v>2.2694621605997237E-2</v>
      </c>
      <c r="H46" s="19">
        <f>C2</f>
        <v>1.2500000000000001E-2</v>
      </c>
      <c r="I46" s="25">
        <f>E46+D46</f>
        <v>0.99999999999999978</v>
      </c>
      <c r="N46" s="25">
        <v>-0.57999999999999996</v>
      </c>
      <c r="O46" s="25">
        <f t="shared" si="4"/>
        <v>1.58</v>
      </c>
      <c r="P46" s="30">
        <f t="shared" si="7"/>
        <v>6.3635425330058878E-2</v>
      </c>
      <c r="Q46" s="19">
        <f t="shared" si="6"/>
        <v>8.3247500000000058E-3</v>
      </c>
      <c r="S46" s="25"/>
      <c r="T46" s="25"/>
    </row>
    <row r="47" spans="2:20" x14ac:dyDescent="0.35">
      <c r="N47" s="25">
        <v>-0.56000000000000005</v>
      </c>
      <c r="O47" s="25">
        <f t="shared" si="4"/>
        <v>1.56</v>
      </c>
      <c r="P47" s="30">
        <f t="shared" si="7"/>
        <v>6.1780224376413527E-2</v>
      </c>
      <c r="Q47" s="19">
        <f t="shared" si="6"/>
        <v>8.6120000000000016E-3</v>
      </c>
      <c r="S47" s="25"/>
      <c r="T47" s="25"/>
    </row>
    <row r="48" spans="2:20" x14ac:dyDescent="0.35">
      <c r="N48" s="25">
        <v>-0.54</v>
      </c>
      <c r="O48" s="25">
        <f t="shared" si="4"/>
        <v>1.54</v>
      </c>
      <c r="P48" s="30">
        <f t="shared" si="7"/>
        <v>5.9950708460680437E-2</v>
      </c>
      <c r="Q48" s="19">
        <f t="shared" si="6"/>
        <v>8.8992500000000044E-3</v>
      </c>
      <c r="S48" s="25"/>
      <c r="T48" s="25"/>
    </row>
    <row r="49" spans="2:20" x14ac:dyDescent="0.35">
      <c r="N49" s="25">
        <v>-0.52</v>
      </c>
      <c r="O49" s="25">
        <f t="shared" si="4"/>
        <v>1.52</v>
      </c>
      <c r="P49" s="30">
        <f t="shared" si="7"/>
        <v>5.8149301971304884E-2</v>
      </c>
      <c r="Q49" s="19">
        <f t="shared" si="6"/>
        <v>9.1865000000000002E-3</v>
      </c>
      <c r="S49" s="25"/>
      <c r="T49" s="25"/>
    </row>
    <row r="50" spans="2:20" x14ac:dyDescent="0.35">
      <c r="N50" s="25">
        <v>-0.5</v>
      </c>
      <c r="O50" s="25">
        <f t="shared" si="4"/>
        <v>1.5</v>
      </c>
      <c r="P50" s="30">
        <f t="shared" si="7"/>
        <v>5.6378699421301852E-2</v>
      </c>
      <c r="Q50" s="19">
        <f t="shared" si="6"/>
        <v>9.473750000000003E-3</v>
      </c>
      <c r="S50" s="25"/>
      <c r="T50" s="25"/>
    </row>
    <row r="51" spans="2:20" x14ac:dyDescent="0.35">
      <c r="B51" s="32" t="s">
        <v>39</v>
      </c>
      <c r="N51" s="25">
        <v>-0.48</v>
      </c>
      <c r="O51" s="25">
        <f t="shared" si="4"/>
        <v>1.48</v>
      </c>
      <c r="P51" s="30">
        <f t="shared" si="7"/>
        <v>5.4641895382572525E-2</v>
      </c>
      <c r="Q51" s="19">
        <f t="shared" si="6"/>
        <v>9.761000000000004E-3</v>
      </c>
      <c r="S51" s="25"/>
      <c r="T51" s="25"/>
    </row>
    <row r="52" spans="2:20" x14ac:dyDescent="0.35">
      <c r="B52" t="s">
        <v>41</v>
      </c>
      <c r="N52" s="25">
        <v>-0.46</v>
      </c>
      <c r="O52" s="25">
        <f t="shared" si="4"/>
        <v>1.46</v>
      </c>
      <c r="P52" s="30">
        <f t="shared" si="7"/>
        <v>5.2942216306436404E-2</v>
      </c>
      <c r="Q52" s="19">
        <f t="shared" si="6"/>
        <v>1.004825E-2</v>
      </c>
      <c r="S52" s="25"/>
      <c r="T52" s="25"/>
    </row>
    <row r="53" spans="2:20" x14ac:dyDescent="0.35">
      <c r="B53" s="34" t="s">
        <v>47</v>
      </c>
      <c r="C53" s="19">
        <f>C3</f>
        <v>6.5000000000000002E-2</v>
      </c>
      <c r="N53" s="25">
        <v>-0.44</v>
      </c>
      <c r="O53" s="25">
        <f t="shared" si="4"/>
        <v>1.44</v>
      </c>
      <c r="P53" s="30">
        <f t="shared" si="7"/>
        <v>5.1283353612551513E-2</v>
      </c>
      <c r="Q53" s="19">
        <f t="shared" si="6"/>
        <v>1.0335500000000001E-2</v>
      </c>
      <c r="S53" s="25"/>
      <c r="T53" s="25"/>
    </row>
    <row r="54" spans="2:20" x14ac:dyDescent="0.35">
      <c r="B54" s="34" t="s">
        <v>46</v>
      </c>
      <c r="C54" s="17">
        <f>H46+C53*(G46-H46)/F46</f>
        <v>2.2241991932618253E-2</v>
      </c>
      <c r="N54" s="25">
        <v>-0.41999999999999899</v>
      </c>
      <c r="O54" s="25">
        <f t="shared" si="4"/>
        <v>1.419999999999999</v>
      </c>
      <c r="P54" s="30">
        <f t="shared" si="7"/>
        <v>4.9669397036178044E-2</v>
      </c>
      <c r="Q54" s="19">
        <f t="shared" si="6"/>
        <v>1.0622750000000019E-2</v>
      </c>
      <c r="S54" s="25"/>
      <c r="T54" s="25"/>
    </row>
    <row r="55" spans="2:20" x14ac:dyDescent="0.35">
      <c r="B55" t="s">
        <v>42</v>
      </c>
      <c r="C55" s="16"/>
      <c r="N55" s="25">
        <v>-0.39999999999999902</v>
      </c>
      <c r="O55" s="25">
        <f t="shared" si="4"/>
        <v>1.399999999999999</v>
      </c>
      <c r="P55" s="30">
        <f t="shared" si="7"/>
        <v>4.8104866697663687E-2</v>
      </c>
      <c r="Q55" s="19">
        <f t="shared" si="6"/>
        <v>1.0910000000000015E-2</v>
      </c>
      <c r="S55" s="25"/>
      <c r="T55" s="25"/>
    </row>
    <row r="56" spans="2:20" x14ac:dyDescent="0.35">
      <c r="B56" s="35" t="s">
        <v>48</v>
      </c>
      <c r="C56" s="37">
        <f>C53/F46</f>
        <v>0.95560113058902429</v>
      </c>
      <c r="N56" s="25">
        <v>-0.37999999999999901</v>
      </c>
      <c r="O56" s="25">
        <f t="shared" si="4"/>
        <v>1.379999999999999</v>
      </c>
      <c r="P56" s="30">
        <f t="shared" si="7"/>
        <v>4.6594741676904854E-2</v>
      </c>
      <c r="Q56" s="19">
        <f t="shared" si="6"/>
        <v>1.1197250000000018E-2</v>
      </c>
      <c r="S56" s="25"/>
      <c r="T56" s="25"/>
    </row>
    <row r="57" spans="2:20" x14ac:dyDescent="0.35">
      <c r="B57" s="35" t="s">
        <v>43</v>
      </c>
      <c r="C57" s="37">
        <f>1-C56</f>
        <v>4.4398869410975705E-2</v>
      </c>
      <c r="N57" s="25">
        <v>-0.35999999999999899</v>
      </c>
      <c r="O57" s="25">
        <f t="shared" si="4"/>
        <v>1.359999999999999</v>
      </c>
      <c r="P57" s="30">
        <f t="shared" si="7"/>
        <v>4.5144482029922488E-2</v>
      </c>
      <c r="Q57" s="19">
        <f t="shared" ref="Q57:Q88" si="8">N57*$C$14+O57*$D$14</f>
        <v>1.1484500000000019E-2</v>
      </c>
      <c r="S57" s="25"/>
      <c r="T57" s="25"/>
    </row>
    <row r="58" spans="2:20" x14ac:dyDescent="0.35">
      <c r="B58" s="36"/>
      <c r="N58" s="25">
        <v>-0.33999999999999903</v>
      </c>
      <c r="O58" s="25">
        <f t="shared" si="4"/>
        <v>1.339999999999999</v>
      </c>
      <c r="P58" s="30">
        <f t="shared" si="7"/>
        <v>4.3760040190080882E-2</v>
      </c>
      <c r="Q58" s="19">
        <f t="shared" si="8"/>
        <v>1.1771750000000015E-2</v>
      </c>
      <c r="S58" s="25"/>
      <c r="T58" s="25"/>
    </row>
    <row r="59" spans="2:20" x14ac:dyDescent="0.35">
      <c r="B59" s="35" t="s">
        <v>44</v>
      </c>
      <c r="C59" s="37">
        <f>D46*C56</f>
        <v>0.40184294064549064</v>
      </c>
      <c r="N59" s="25">
        <v>-0.31999999999999901</v>
      </c>
      <c r="O59" s="25">
        <f t="shared" si="4"/>
        <v>1.319999999999999</v>
      </c>
      <c r="P59" s="30">
        <f t="shared" si="7"/>
        <v>4.2447856612554596E-2</v>
      </c>
      <c r="Q59" s="19">
        <f t="shared" si="8"/>
        <v>1.2059000000000016E-2</v>
      </c>
      <c r="S59" s="25"/>
      <c r="T59" s="25"/>
    </row>
    <row r="60" spans="2:20" x14ac:dyDescent="0.35">
      <c r="B60" s="35" t="s">
        <v>45</v>
      </c>
      <c r="C60" s="37">
        <f>E46*C56</f>
        <v>0.55375818994353343</v>
      </c>
      <c r="N60" s="25">
        <v>-0.29999999999999899</v>
      </c>
      <c r="O60" s="25">
        <f t="shared" si="4"/>
        <v>1.2999999999999989</v>
      </c>
      <c r="P60" s="30">
        <f t="shared" si="7"/>
        <v>4.1214833475794799E-2</v>
      </c>
      <c r="Q60" s="19">
        <f t="shared" si="8"/>
        <v>1.2346250000000017E-2</v>
      </c>
      <c r="S60" s="25"/>
      <c r="T60" s="25"/>
    </row>
    <row r="61" spans="2:20" x14ac:dyDescent="0.35">
      <c r="B61" s="35" t="s">
        <v>43</v>
      </c>
      <c r="C61" s="37">
        <f>C57</f>
        <v>4.4398869410975705E-2</v>
      </c>
      <c r="N61" s="25">
        <v>-0.27999999999999903</v>
      </c>
      <c r="O61" s="25">
        <f t="shared" si="4"/>
        <v>1.2799999999999989</v>
      </c>
      <c r="P61" s="30">
        <f t="shared" si="7"/>
        <v>4.0068279470798294E-2</v>
      </c>
      <c r="Q61" s="19">
        <f t="shared" si="8"/>
        <v>1.2633500000000016E-2</v>
      </c>
      <c r="S61" s="25"/>
      <c r="T61" s="25"/>
    </row>
    <row r="62" spans="2:20" x14ac:dyDescent="0.35">
      <c r="N62" s="25">
        <v>-0.25999999999999901</v>
      </c>
      <c r="O62" s="25">
        <f t="shared" si="4"/>
        <v>1.2599999999999989</v>
      </c>
      <c r="P62" s="30">
        <f t="shared" si="7"/>
        <v>3.9015818521946924E-2</v>
      </c>
      <c r="Q62" s="19">
        <f t="shared" si="8"/>
        <v>1.2920750000000014E-2</v>
      </c>
      <c r="S62" s="25"/>
      <c r="T62" s="25"/>
    </row>
    <row r="63" spans="2:20" x14ac:dyDescent="0.35">
      <c r="B63" s="35"/>
      <c r="N63" s="25">
        <v>-0.23999999999999899</v>
      </c>
      <c r="O63" s="25">
        <f t="shared" si="4"/>
        <v>1.2399999999999989</v>
      </c>
      <c r="P63" s="30">
        <f t="shared" si="7"/>
        <v>3.8065256126814599E-2</v>
      </c>
      <c r="Q63" s="19">
        <f t="shared" si="8"/>
        <v>1.3208000000000015E-2</v>
      </c>
      <c r="S63" s="25"/>
      <c r="T63" s="25"/>
    </row>
    <row r="64" spans="2:20" x14ac:dyDescent="0.35">
      <c r="B64" t="s">
        <v>53</v>
      </c>
      <c r="N64" s="25">
        <v>-0.219999999999999</v>
      </c>
      <c r="O64" s="25">
        <f t="shared" si="4"/>
        <v>1.2199999999999991</v>
      </c>
      <c r="P64" s="30">
        <f t="shared" si="7"/>
        <v>3.7224399349586525E-2</v>
      </c>
      <c r="Q64" s="19">
        <f t="shared" si="8"/>
        <v>1.3495250000000019E-2</v>
      </c>
      <c r="S64" s="25"/>
      <c r="T64" s="25"/>
    </row>
    <row r="65" spans="2:20" x14ac:dyDescent="0.35">
      <c r="B65" t="s">
        <v>52</v>
      </c>
      <c r="N65" s="25">
        <v>-0.19999999999999901</v>
      </c>
      <c r="O65" s="25">
        <f t="shared" si="4"/>
        <v>1.1999999999999991</v>
      </c>
      <c r="P65" s="30">
        <f t="shared" si="7"/>
        <v>3.6500830726847823E-2</v>
      </c>
      <c r="Q65" s="19">
        <f t="shared" si="8"/>
        <v>1.378250000000002E-2</v>
      </c>
      <c r="S65" s="25"/>
      <c r="T65" s="25"/>
    </row>
    <row r="66" spans="2:20" x14ac:dyDescent="0.35">
      <c r="N66" s="25">
        <v>-0.17999999999999899</v>
      </c>
      <c r="O66" s="25">
        <f t="shared" si="4"/>
        <v>1.179999999999999</v>
      </c>
      <c r="P66" s="30">
        <f t="shared" si="7"/>
        <v>3.5901642503338174E-2</v>
      </c>
      <c r="Q66" s="19">
        <f t="shared" si="8"/>
        <v>1.4069750000000018E-2</v>
      </c>
      <c r="S66" s="25"/>
      <c r="T66" s="25"/>
    </row>
    <row r="67" spans="2:20" x14ac:dyDescent="0.35">
      <c r="N67" s="25">
        <v>-0.159999999999999</v>
      </c>
      <c r="O67" s="25">
        <f t="shared" si="4"/>
        <v>1.159999999999999</v>
      </c>
      <c r="P67" s="30">
        <f t="shared" si="7"/>
        <v>3.5433145203326202E-2</v>
      </c>
      <c r="Q67" s="19">
        <f t="shared" si="8"/>
        <v>1.4357000000000019E-2</v>
      </c>
      <c r="S67" s="25"/>
      <c r="T67" s="25"/>
    </row>
    <row r="68" spans="2:20" x14ac:dyDescent="0.35">
      <c r="N68" s="25">
        <v>-0.13999999999999899</v>
      </c>
      <c r="O68" s="25">
        <f t="shared" si="4"/>
        <v>1.139999999999999</v>
      </c>
      <c r="P68" s="30">
        <f t="shared" si="7"/>
        <v>3.5100572323503491E-2</v>
      </c>
      <c r="Q68" s="19">
        <f t="shared" si="8"/>
        <v>1.4644250000000018E-2</v>
      </c>
      <c r="S68" s="25"/>
      <c r="T68" s="25"/>
    </row>
    <row r="69" spans="2:20" x14ac:dyDescent="0.35">
      <c r="N69" s="25">
        <v>-0.119999999999999</v>
      </c>
      <c r="O69" s="25">
        <f t="shared" si="4"/>
        <v>1.119999999999999</v>
      </c>
      <c r="P69" s="30">
        <f t="shared" si="7"/>
        <v>3.4907809008157473E-2</v>
      </c>
      <c r="Q69" s="19">
        <f t="shared" si="8"/>
        <v>1.4931500000000016E-2</v>
      </c>
      <c r="S69" s="25"/>
      <c r="T69" s="25"/>
    </row>
    <row r="70" spans="2:20" x14ac:dyDescent="0.35">
      <c r="N70" s="25">
        <v>-9.9999999999999006E-2</v>
      </c>
      <c r="O70" s="25">
        <f t="shared" si="4"/>
        <v>1.099999999999999</v>
      </c>
      <c r="P70" s="30">
        <f t="shared" si="7"/>
        <v>3.4857174812906171E-2</v>
      </c>
      <c r="Q70" s="19">
        <f t="shared" si="8"/>
        <v>1.5218750000000017E-2</v>
      </c>
      <c r="S70" s="25"/>
      <c r="T70" s="25"/>
    </row>
    <row r="71" spans="2:20" x14ac:dyDescent="0.35">
      <c r="N71" s="25">
        <v>-7.9999999999999002E-2</v>
      </c>
      <c r="O71" s="25">
        <f t="shared" si="4"/>
        <v>1.079999999999999</v>
      </c>
      <c r="P71" s="30">
        <f t="shared" si="7"/>
        <v>3.4949287489160638E-2</v>
      </c>
      <c r="Q71" s="19">
        <f t="shared" si="8"/>
        <v>1.5506000000000018E-2</v>
      </c>
      <c r="S71" s="25"/>
      <c r="T71" s="25"/>
    </row>
    <row r="72" spans="2:20" x14ac:dyDescent="0.35">
      <c r="N72" s="25">
        <v>-5.9999999999999103E-2</v>
      </c>
      <c r="O72" s="25">
        <f t="shared" si="4"/>
        <v>1.0599999999999992</v>
      </c>
      <c r="P72" s="30">
        <f t="shared" si="7"/>
        <v>3.518302587807793E-2</v>
      </c>
      <c r="Q72" s="19">
        <f t="shared" si="8"/>
        <v>1.5793250000000019E-2</v>
      </c>
      <c r="S72" s="25"/>
      <c r="T72" s="25"/>
    </row>
    <row r="73" spans="2:20" x14ac:dyDescent="0.35">
      <c r="N73" s="25">
        <v>-3.9999999999999002E-2</v>
      </c>
      <c r="O73" s="25">
        <f t="shared" si="4"/>
        <v>1.0399999999999989</v>
      </c>
      <c r="P73" s="30">
        <f t="shared" si="7"/>
        <v>3.5555596996113027E-2</v>
      </c>
      <c r="Q73" s="19">
        <f t="shared" si="8"/>
        <v>1.6080500000000015E-2</v>
      </c>
      <c r="S73" s="25"/>
      <c r="T73" s="25"/>
    </row>
    <row r="74" spans="2:20" x14ac:dyDescent="0.35">
      <c r="N74" s="25">
        <v>-1.9999999999999001E-2</v>
      </c>
      <c r="O74" s="25">
        <f t="shared" si="4"/>
        <v>1.0199999999999989</v>
      </c>
      <c r="P74" s="30">
        <f t="shared" si="7"/>
        <v>3.60626981718992E-2</v>
      </c>
      <c r="Q74" s="19">
        <f t="shared" si="8"/>
        <v>1.6367750000000018E-2</v>
      </c>
      <c r="S74" s="25"/>
      <c r="T74" s="25"/>
    </row>
    <row r="75" spans="2:20" x14ac:dyDescent="0.35">
      <c r="N75" s="25">
        <v>0</v>
      </c>
      <c r="O75" s="25">
        <f t="shared" si="4"/>
        <v>1</v>
      </c>
      <c r="P75" s="30">
        <f t="shared" si="7"/>
        <v>3.6698753044211191E-2</v>
      </c>
      <c r="Q75" s="19">
        <f t="shared" si="8"/>
        <v>1.6655000000000003E-2</v>
      </c>
      <c r="S75" s="25"/>
      <c r="T75" s="25"/>
    </row>
    <row r="76" spans="2:20" x14ac:dyDescent="0.35">
      <c r="N76" s="25">
        <v>0.02</v>
      </c>
      <c r="O76" s="25">
        <f t="shared" si="4"/>
        <v>0.98</v>
      </c>
      <c r="P76" s="30">
        <f t="shared" si="7"/>
        <v>3.7457192959930941E-2</v>
      </c>
      <c r="Q76" s="19">
        <f t="shared" si="8"/>
        <v>1.6942250000000002E-2</v>
      </c>
      <c r="S76" s="25"/>
      <c r="T76" s="25"/>
    </row>
    <row r="77" spans="2:20" x14ac:dyDescent="0.35">
      <c r="N77" s="25">
        <v>0.04</v>
      </c>
      <c r="O77" s="25">
        <f t="shared" si="4"/>
        <v>0.96</v>
      </c>
      <c r="P77" s="30">
        <f t="shared" si="7"/>
        <v>3.8330753811397972E-2</v>
      </c>
      <c r="Q77" s="19">
        <f t="shared" si="8"/>
        <v>1.7229500000000002E-2</v>
      </c>
      <c r="S77" s="25"/>
      <c r="T77" s="25"/>
    </row>
    <row r="78" spans="2:20" x14ac:dyDescent="0.35">
      <c r="N78" s="25">
        <v>6.0000000000000102E-2</v>
      </c>
      <c r="O78" s="25">
        <f t="shared" si="4"/>
        <v>0.94</v>
      </c>
      <c r="P78" s="30">
        <f t="shared" si="7"/>
        <v>3.9311761915964805E-2</v>
      </c>
      <c r="Q78" s="19">
        <f t="shared" si="8"/>
        <v>1.7516750000000005E-2</v>
      </c>
      <c r="S78" s="25"/>
      <c r="T78" s="25"/>
    </row>
    <row r="79" spans="2:20" x14ac:dyDescent="0.35">
      <c r="N79" s="25">
        <v>8.0000000000000099E-2</v>
      </c>
      <c r="O79" s="25">
        <f t="shared" si="4"/>
        <v>0.91999999999999993</v>
      </c>
      <c r="P79" s="30">
        <f t="shared" si="7"/>
        <v>4.0392389332645336E-2</v>
      </c>
      <c r="Q79" s="19">
        <f t="shared" si="8"/>
        <v>1.7804000000000007E-2</v>
      </c>
      <c r="S79" s="25"/>
      <c r="T79" s="25"/>
    </row>
    <row r="80" spans="2:20" x14ac:dyDescent="0.35">
      <c r="N80" s="25">
        <v>0.1</v>
      </c>
      <c r="O80" s="25">
        <f t="shared" si="4"/>
        <v>0.9</v>
      </c>
      <c r="P80" s="30">
        <f t="shared" si="7"/>
        <v>4.1564866906288779E-2</v>
      </c>
      <c r="Q80" s="19">
        <f t="shared" si="8"/>
        <v>1.8091250000000003E-2</v>
      </c>
      <c r="S80" s="25"/>
      <c r="T80" s="25"/>
    </row>
    <row r="81" spans="14:20" x14ac:dyDescent="0.35">
      <c r="N81" s="25">
        <v>0.12</v>
      </c>
      <c r="O81" s="25">
        <f t="shared" si="4"/>
        <v>0.88</v>
      </c>
      <c r="P81" s="30">
        <f t="shared" si="7"/>
        <v>4.2821650595814269E-2</v>
      </c>
      <c r="Q81" s="19">
        <f t="shared" si="8"/>
        <v>1.8378500000000002E-2</v>
      </c>
      <c r="S81" s="25"/>
      <c r="T81" s="25"/>
    </row>
    <row r="82" spans="14:20" x14ac:dyDescent="0.35">
      <c r="N82" s="25">
        <v>0.14000000000000001</v>
      </c>
      <c r="O82" s="25">
        <f t="shared" si="4"/>
        <v>0.86</v>
      </c>
      <c r="P82" s="30">
        <f t="shared" si="7"/>
        <v>4.4155542261844094E-2</v>
      </c>
      <c r="Q82" s="19">
        <f t="shared" si="8"/>
        <v>1.8665750000000002E-2</v>
      </c>
      <c r="S82" s="25"/>
      <c r="T82" s="25"/>
    </row>
    <row r="83" spans="14:20" x14ac:dyDescent="0.35">
      <c r="N83" s="25">
        <v>0.16</v>
      </c>
      <c r="O83" s="25">
        <f t="shared" si="4"/>
        <v>0.84</v>
      </c>
      <c r="P83" s="30">
        <f t="shared" si="7"/>
        <v>4.5559769742613936E-2</v>
      </c>
      <c r="Q83" s="19">
        <f t="shared" si="8"/>
        <v>1.8953000000000005E-2</v>
      </c>
      <c r="S83" s="25"/>
      <c r="T83" s="25"/>
    </row>
    <row r="84" spans="14:20" x14ac:dyDescent="0.35">
      <c r="N84" s="25">
        <v>0.18</v>
      </c>
      <c r="O84" s="25">
        <f t="shared" si="4"/>
        <v>0.82000000000000006</v>
      </c>
      <c r="P84" s="30">
        <f t="shared" si="7"/>
        <v>4.7028032910568354E-2</v>
      </c>
      <c r="Q84" s="19">
        <f t="shared" si="8"/>
        <v>1.9240250000000004E-2</v>
      </c>
      <c r="S84" s="25"/>
      <c r="T84" s="25"/>
    </row>
    <row r="85" spans="14:20" x14ac:dyDescent="0.35">
      <c r="N85" s="25">
        <v>0.2</v>
      </c>
      <c r="O85" s="25">
        <f t="shared" si="4"/>
        <v>0.8</v>
      </c>
      <c r="P85" s="30">
        <f t="shared" si="7"/>
        <v>4.8554522896945458E-2</v>
      </c>
      <c r="Q85" s="19">
        <f t="shared" si="8"/>
        <v>1.9527500000000003E-2</v>
      </c>
      <c r="S85" s="25"/>
      <c r="T85" s="25"/>
    </row>
    <row r="86" spans="14:20" x14ac:dyDescent="0.35">
      <c r="N86" s="25">
        <v>0.22</v>
      </c>
      <c r="O86" s="25">
        <f t="shared" si="4"/>
        <v>0.78</v>
      </c>
      <c r="P86" s="30">
        <f t="shared" si="7"/>
        <v>5.0133921270308593E-2</v>
      </c>
      <c r="Q86" s="19">
        <f t="shared" si="8"/>
        <v>1.9814750000000006E-2</v>
      </c>
      <c r="S86" s="25"/>
      <c r="T86" s="25"/>
    </row>
    <row r="87" spans="14:20" x14ac:dyDescent="0.35">
      <c r="N87" s="25">
        <v>0.24</v>
      </c>
      <c r="O87" s="25">
        <f t="shared" si="4"/>
        <v>0.76</v>
      </c>
      <c r="P87" s="30">
        <f t="shared" si="7"/>
        <v>5.1761385066475957E-2</v>
      </c>
      <c r="Q87" s="19">
        <f t="shared" si="8"/>
        <v>2.0102000000000002E-2</v>
      </c>
      <c r="S87" s="25"/>
      <c r="T87" s="25"/>
    </row>
    <row r="88" spans="14:20" x14ac:dyDescent="0.35">
      <c r="N88" s="25">
        <v>0.26</v>
      </c>
      <c r="O88" s="25">
        <f t="shared" si="4"/>
        <v>0.74</v>
      </c>
      <c r="P88" s="30">
        <f t="shared" si="7"/>
        <v>5.3432522492743134E-2</v>
      </c>
      <c r="Q88" s="19">
        <f t="shared" si="8"/>
        <v>2.0389250000000005E-2</v>
      </c>
      <c r="S88" s="25"/>
      <c r="T88" s="25"/>
    </row>
    <row r="89" spans="14:20" x14ac:dyDescent="0.35">
      <c r="N89" s="25">
        <v>0.28000000000000003</v>
      </c>
      <c r="O89" s="25">
        <f t="shared" si="4"/>
        <v>0.72</v>
      </c>
      <c r="P89" s="30">
        <f t="shared" si="7"/>
        <v>5.5143363061659567E-2</v>
      </c>
      <c r="Q89" s="19">
        <f t="shared" ref="Q89:Q120" si="9">N89*$C$14+O89*$D$14</f>
        <v>2.0676500000000004E-2</v>
      </c>
      <c r="S89" s="25"/>
      <c r="T89" s="25"/>
    </row>
    <row r="90" spans="14:20" x14ac:dyDescent="0.35">
      <c r="N90" s="25">
        <v>0.3</v>
      </c>
      <c r="O90" s="25">
        <f t="shared" ref="O90:O153" si="10">1-N90</f>
        <v>0.7</v>
      </c>
      <c r="P90" s="30">
        <f t="shared" ref="P90:P153" si="11">SQRT((N90*$C$15)^2+(O90*$D$15)^2+2*N90*O90*$C$16)</f>
        <v>5.6890324954578173E-2</v>
      </c>
      <c r="Q90" s="19">
        <f t="shared" si="9"/>
        <v>2.0963750000000003E-2</v>
      </c>
      <c r="S90" s="25"/>
      <c r="T90" s="25"/>
    </row>
    <row r="91" spans="14:20" x14ac:dyDescent="0.35">
      <c r="N91" s="25">
        <v>0.32</v>
      </c>
      <c r="O91" s="25">
        <f t="shared" si="10"/>
        <v>0.67999999999999994</v>
      </c>
      <c r="P91" s="30">
        <f t="shared" si="11"/>
        <v>5.8670181617240628E-2</v>
      </c>
      <c r="Q91" s="19">
        <f t="shared" si="9"/>
        <v>2.1251000000000003E-2</v>
      </c>
      <c r="S91" s="25"/>
      <c r="T91" s="25"/>
    </row>
    <row r="92" spans="14:20" x14ac:dyDescent="0.35">
      <c r="N92" s="25">
        <v>0.34</v>
      </c>
      <c r="O92" s="25">
        <f t="shared" si="10"/>
        <v>0.65999999999999992</v>
      </c>
      <c r="P92" s="30">
        <f t="shared" si="11"/>
        <v>6.0480028955329543E-2</v>
      </c>
      <c r="Q92" s="19">
        <f t="shared" si="9"/>
        <v>2.1538250000000002E-2</v>
      </c>
      <c r="S92" s="25"/>
      <c r="T92" s="25"/>
    </row>
    <row r="93" spans="14:20" x14ac:dyDescent="0.35">
      <c r="N93" s="25">
        <v>0.36</v>
      </c>
      <c r="O93" s="25">
        <f t="shared" si="10"/>
        <v>0.64</v>
      </c>
      <c r="P93" s="30">
        <f t="shared" si="11"/>
        <v>6.2317254013234576E-2</v>
      </c>
      <c r="Q93" s="19">
        <f t="shared" si="9"/>
        <v>2.1825500000000005E-2</v>
      </c>
      <c r="S93" s="25"/>
      <c r="T93" s="25"/>
    </row>
    <row r="94" spans="14:20" x14ac:dyDescent="0.35">
      <c r="N94" s="25">
        <v>0.38</v>
      </c>
      <c r="O94" s="25">
        <f t="shared" si="10"/>
        <v>0.62</v>
      </c>
      <c r="P94" s="30">
        <f t="shared" si="11"/>
        <v>6.4179505661367472E-2</v>
      </c>
      <c r="Q94" s="19">
        <f t="shared" si="9"/>
        <v>2.211275E-2</v>
      </c>
      <c r="S94" s="25"/>
      <c r="T94" s="25"/>
    </row>
    <row r="95" spans="14:20" x14ac:dyDescent="0.35">
      <c r="N95" s="25">
        <v>0.4</v>
      </c>
      <c r="O95" s="25">
        <f t="shared" si="10"/>
        <v>0.6</v>
      </c>
      <c r="P95" s="30">
        <f t="shared" si="11"/>
        <v>6.6064667561412896E-2</v>
      </c>
      <c r="Q95" s="19">
        <f t="shared" si="9"/>
        <v>2.2400000000000003E-2</v>
      </c>
      <c r="S95" s="25"/>
      <c r="T95" s="25"/>
    </row>
    <row r="96" spans="14:20" x14ac:dyDescent="0.35">
      <c r="N96" s="25">
        <v>0.42</v>
      </c>
      <c r="O96" s="25">
        <f t="shared" si="10"/>
        <v>0.58000000000000007</v>
      </c>
      <c r="P96" s="30">
        <f t="shared" si="11"/>
        <v>6.7970833501859465E-2</v>
      </c>
      <c r="Q96" s="19">
        <f t="shared" si="9"/>
        <v>2.2687250000000006E-2</v>
      </c>
      <c r="S96" s="25"/>
      <c r="T96" s="25"/>
    </row>
    <row r="97" spans="14:20" x14ac:dyDescent="0.35">
      <c r="N97" s="25">
        <v>0.44</v>
      </c>
      <c r="O97" s="25">
        <f t="shared" si="10"/>
        <v>0.56000000000000005</v>
      </c>
      <c r="P97" s="30">
        <f t="shared" si="11"/>
        <v>6.9896285078321588E-2</v>
      </c>
      <c r="Q97" s="19">
        <f t="shared" si="9"/>
        <v>2.2974500000000005E-2</v>
      </c>
      <c r="S97" s="25"/>
      <c r="T97" s="25"/>
    </row>
    <row r="98" spans="14:20" x14ac:dyDescent="0.35">
      <c r="N98" s="25">
        <v>0.46</v>
      </c>
      <c r="O98" s="25">
        <f t="shared" si="10"/>
        <v>0.54</v>
      </c>
      <c r="P98" s="30">
        <f t="shared" si="11"/>
        <v>7.1839471618585157E-2</v>
      </c>
      <c r="Q98" s="19">
        <f t="shared" si="9"/>
        <v>2.3261750000000005E-2</v>
      </c>
      <c r="S98" s="25"/>
      <c r="T98" s="25"/>
    </row>
    <row r="99" spans="14:20" x14ac:dyDescent="0.35">
      <c r="N99" s="25">
        <v>0.48</v>
      </c>
      <c r="O99" s="25">
        <f t="shared" si="10"/>
        <v>0.52</v>
      </c>
      <c r="P99" s="30">
        <f t="shared" si="11"/>
        <v>7.3798992208566103E-2</v>
      </c>
      <c r="Q99" s="19">
        <f t="shared" si="9"/>
        <v>2.3549000000000004E-2</v>
      </c>
      <c r="S99" s="25"/>
      <c r="T99" s="25"/>
    </row>
    <row r="100" spans="14:20" x14ac:dyDescent="0.35">
      <c r="N100" s="25">
        <v>0.5</v>
      </c>
      <c r="O100" s="25">
        <f t="shared" si="10"/>
        <v>0.5</v>
      </c>
      <c r="P100" s="30">
        <f t="shared" si="11"/>
        <v>7.5773579653052564E-2</v>
      </c>
      <c r="Q100" s="19">
        <f t="shared" si="9"/>
        <v>2.3836250000000003E-2</v>
      </c>
      <c r="S100" s="25"/>
      <c r="T100" s="25"/>
    </row>
    <row r="101" spans="14:20" x14ac:dyDescent="0.35">
      <c r="N101" s="25">
        <v>0.52</v>
      </c>
      <c r="O101" s="25">
        <f t="shared" si="10"/>
        <v>0.48</v>
      </c>
      <c r="P101" s="30">
        <f t="shared" si="11"/>
        <v>7.7762086197259397E-2</v>
      </c>
      <c r="Q101" s="19">
        <f t="shared" si="9"/>
        <v>2.4123500000000006E-2</v>
      </c>
      <c r="S101" s="25"/>
      <c r="T101" s="25"/>
    </row>
    <row r="102" spans="14:20" x14ac:dyDescent="0.35">
      <c r="N102" s="25">
        <v>0.54</v>
      </c>
      <c r="O102" s="25">
        <f t="shared" si="10"/>
        <v>0.45999999999999996</v>
      </c>
      <c r="P102" s="30">
        <f t="shared" si="11"/>
        <v>7.9763470836827929E-2</v>
      </c>
      <c r="Q102" s="19">
        <f t="shared" si="9"/>
        <v>2.4410750000000002E-2</v>
      </c>
      <c r="S102" s="25"/>
      <c r="T102" s="25"/>
    </row>
    <row r="103" spans="14:20" x14ac:dyDescent="0.35">
      <c r="N103" s="25">
        <v>0.56000000000000005</v>
      </c>
      <c r="O103" s="25">
        <f t="shared" si="10"/>
        <v>0.43999999999999995</v>
      </c>
      <c r="P103" s="30">
        <f t="shared" si="11"/>
        <v>8.1776788051378002E-2</v>
      </c>
      <c r="Q103" s="19">
        <f t="shared" si="9"/>
        <v>2.4698000000000005E-2</v>
      </c>
      <c r="S103" s="25"/>
      <c r="T103" s="25"/>
    </row>
    <row r="104" spans="14:20" x14ac:dyDescent="0.35">
      <c r="N104" s="25">
        <v>0.57999999999999996</v>
      </c>
      <c r="O104" s="25">
        <f t="shared" si="10"/>
        <v>0.42000000000000004</v>
      </c>
      <c r="P104" s="30">
        <f t="shared" si="11"/>
        <v>8.3801177807579175E-2</v>
      </c>
      <c r="Q104" s="19">
        <f t="shared" si="9"/>
        <v>2.4985250000000001E-2</v>
      </c>
      <c r="S104" s="25"/>
      <c r="T104" s="25"/>
    </row>
    <row r="105" spans="14:20" x14ac:dyDescent="0.35">
      <c r="N105" s="25">
        <v>0.6</v>
      </c>
      <c r="O105" s="25">
        <f t="shared" si="10"/>
        <v>0.4</v>
      </c>
      <c r="P105" s="30">
        <f t="shared" si="11"/>
        <v>8.5835856690255036E-2</v>
      </c>
      <c r="Q105" s="19">
        <f t="shared" si="9"/>
        <v>2.5272500000000003E-2</v>
      </c>
      <c r="S105" s="25"/>
      <c r="T105" s="25"/>
    </row>
    <row r="106" spans="14:20" x14ac:dyDescent="0.35">
      <c r="N106" s="25">
        <v>0.62</v>
      </c>
      <c r="O106" s="25">
        <f t="shared" si="10"/>
        <v>0.38</v>
      </c>
      <c r="P106" s="30">
        <f t="shared" si="11"/>
        <v>8.7880110033144027E-2</v>
      </c>
      <c r="Q106" s="19">
        <f t="shared" si="9"/>
        <v>2.5559750000000003E-2</v>
      </c>
      <c r="S106" s="25"/>
      <c r="T106" s="25"/>
    </row>
    <row r="107" spans="14:20" x14ac:dyDescent="0.35">
      <c r="N107" s="25">
        <v>0.64</v>
      </c>
      <c r="O107" s="25">
        <f t="shared" si="10"/>
        <v>0.36</v>
      </c>
      <c r="P107" s="30">
        <f t="shared" si="11"/>
        <v>8.9933284933888635E-2</v>
      </c>
      <c r="Q107" s="19">
        <f t="shared" si="9"/>
        <v>2.5847000000000002E-2</v>
      </c>
      <c r="S107" s="25"/>
      <c r="T107" s="25"/>
    </row>
    <row r="108" spans="14:20" x14ac:dyDescent="0.35">
      <c r="N108" s="25">
        <v>0.66</v>
      </c>
      <c r="O108" s="25">
        <f t="shared" si="10"/>
        <v>0.33999999999999997</v>
      </c>
      <c r="P108" s="30">
        <f t="shared" si="11"/>
        <v>9.1994784050170489E-2</v>
      </c>
      <c r="Q108" s="19">
        <f t="shared" si="9"/>
        <v>2.6134250000000001E-2</v>
      </c>
      <c r="S108" s="25"/>
      <c r="T108" s="25"/>
    </row>
    <row r="109" spans="14:20" x14ac:dyDescent="0.35">
      <c r="N109" s="25">
        <v>0.68</v>
      </c>
      <c r="O109" s="25">
        <f t="shared" si="10"/>
        <v>0.31999999999999995</v>
      </c>
      <c r="P109" s="30">
        <f t="shared" si="11"/>
        <v>9.4064060085401385E-2</v>
      </c>
      <c r="Q109" s="19">
        <f t="shared" si="9"/>
        <v>2.6421500000000004E-2</v>
      </c>
      <c r="S109" s="25"/>
      <c r="T109" s="25"/>
    </row>
    <row r="110" spans="14:20" x14ac:dyDescent="0.35">
      <c r="N110" s="25">
        <v>0.7</v>
      </c>
      <c r="O110" s="25">
        <f t="shared" si="10"/>
        <v>0.30000000000000004</v>
      </c>
      <c r="P110" s="30">
        <f t="shared" si="11"/>
        <v>9.6140610882901614E-2</v>
      </c>
      <c r="Q110" s="19">
        <f t="shared" si="9"/>
        <v>2.6708750000000003E-2</v>
      </c>
      <c r="S110" s="25"/>
      <c r="T110" s="25"/>
    </row>
    <row r="111" spans="14:20" x14ac:dyDescent="0.35">
      <c r="N111" s="25">
        <v>0.72</v>
      </c>
      <c r="O111" s="25">
        <f t="shared" si="10"/>
        <v>0.28000000000000003</v>
      </c>
      <c r="P111" s="30">
        <f t="shared" si="11"/>
        <v>9.8223975057009388E-2</v>
      </c>
      <c r="Q111" s="19">
        <f t="shared" si="9"/>
        <v>2.6996000000000003E-2</v>
      </c>
      <c r="S111" s="25"/>
      <c r="T111" s="25"/>
    </row>
    <row r="112" spans="14:20" x14ac:dyDescent="0.35">
      <c r="N112" s="25">
        <v>0.74</v>
      </c>
      <c r="O112" s="25">
        <f t="shared" si="10"/>
        <v>0.26</v>
      </c>
      <c r="P112" s="30">
        <f t="shared" si="11"/>
        <v>0.10031372809808985</v>
      </c>
      <c r="Q112" s="19">
        <f t="shared" si="9"/>
        <v>2.7283250000000005E-2</v>
      </c>
      <c r="S112" s="25"/>
      <c r="T112" s="25"/>
    </row>
    <row r="113" spans="14:20" x14ac:dyDescent="0.35">
      <c r="N113" s="25">
        <v>0.76</v>
      </c>
      <c r="O113" s="25">
        <f t="shared" si="10"/>
        <v>0.24</v>
      </c>
      <c r="P113" s="30">
        <f t="shared" si="11"/>
        <v>0.10240947889599868</v>
      </c>
      <c r="Q113" s="19">
        <f t="shared" si="9"/>
        <v>2.7570500000000001E-2</v>
      </c>
      <c r="S113" s="25"/>
      <c r="T113" s="25"/>
    </row>
    <row r="114" spans="14:20" x14ac:dyDescent="0.35">
      <c r="N114" s="25">
        <v>0.78</v>
      </c>
      <c r="O114" s="25">
        <f t="shared" si="10"/>
        <v>0.21999999999999997</v>
      </c>
      <c r="P114" s="30">
        <f t="shared" si="11"/>
        <v>0.10451086663327168</v>
      </c>
      <c r="Q114" s="19">
        <f t="shared" si="9"/>
        <v>2.7857750000000004E-2</v>
      </c>
      <c r="S114" s="25"/>
      <c r="T114" s="25"/>
    </row>
    <row r="115" spans="14:20" x14ac:dyDescent="0.35">
      <c r="N115" s="25">
        <v>0.8</v>
      </c>
      <c r="O115" s="25">
        <f t="shared" si="10"/>
        <v>0.19999999999999996</v>
      </c>
      <c r="P115" s="30">
        <f t="shared" si="11"/>
        <v>0.10661755800523666</v>
      </c>
      <c r="Q115" s="19">
        <f t="shared" si="9"/>
        <v>2.8145000000000003E-2</v>
      </c>
      <c r="S115" s="25"/>
      <c r="T115" s="25"/>
    </row>
    <row r="116" spans="14:20" x14ac:dyDescent="0.35">
      <c r="N116" s="25">
        <v>0.82</v>
      </c>
      <c r="O116" s="25">
        <f t="shared" si="10"/>
        <v>0.18000000000000005</v>
      </c>
      <c r="P116" s="30">
        <f t="shared" si="11"/>
        <v>0.108729244729454</v>
      </c>
      <c r="Q116" s="19">
        <f t="shared" si="9"/>
        <v>2.8432250000000003E-2</v>
      </c>
      <c r="S116" s="25"/>
      <c r="T116" s="25"/>
    </row>
    <row r="117" spans="14:20" x14ac:dyDescent="0.35">
      <c r="N117" s="25">
        <v>0.84</v>
      </c>
      <c r="O117" s="25">
        <f t="shared" si="10"/>
        <v>0.16000000000000003</v>
      </c>
      <c r="P117" s="30">
        <f t="shared" si="11"/>
        <v>0.1108456413114652</v>
      </c>
      <c r="Q117" s="19">
        <f t="shared" si="9"/>
        <v>2.8719500000000005E-2</v>
      </c>
      <c r="S117" s="25"/>
      <c r="T117" s="25"/>
    </row>
    <row r="118" spans="14:20" x14ac:dyDescent="0.35">
      <c r="N118" s="25">
        <v>0.86</v>
      </c>
      <c r="O118" s="25">
        <f t="shared" si="10"/>
        <v>0.14000000000000001</v>
      </c>
      <c r="P118" s="30">
        <f t="shared" si="11"/>
        <v>0.11296648303783517</v>
      </c>
      <c r="Q118" s="19">
        <f t="shared" si="9"/>
        <v>2.9006750000000005E-2</v>
      </c>
      <c r="S118" s="25"/>
      <c r="T118" s="25"/>
    </row>
    <row r="119" spans="14:20" x14ac:dyDescent="0.35">
      <c r="N119" s="25">
        <v>0.88</v>
      </c>
      <c r="O119" s="25">
        <f t="shared" si="10"/>
        <v>0.12</v>
      </c>
      <c r="P119" s="30">
        <f t="shared" si="11"/>
        <v>0.11509152417098316</v>
      </c>
      <c r="Q119" s="19">
        <f t="shared" si="9"/>
        <v>2.9294000000000004E-2</v>
      </c>
      <c r="S119" s="25"/>
      <c r="T119" s="25"/>
    </row>
    <row r="120" spans="14:20" x14ac:dyDescent="0.35">
      <c r="N120" s="25">
        <v>0.9</v>
      </c>
      <c r="O120" s="25">
        <f t="shared" si="10"/>
        <v>9.9999999999999978E-2</v>
      </c>
      <c r="P120" s="30">
        <f t="shared" si="11"/>
        <v>0.11722053632336571</v>
      </c>
      <c r="Q120" s="19">
        <f t="shared" si="9"/>
        <v>2.9581250000000003E-2</v>
      </c>
      <c r="S120" s="25"/>
      <c r="T120" s="25"/>
    </row>
    <row r="121" spans="14:20" x14ac:dyDescent="0.35">
      <c r="N121" s="25">
        <v>0.92</v>
      </c>
      <c r="O121" s="25">
        <f t="shared" si="10"/>
        <v>7.999999999999996E-2</v>
      </c>
      <c r="P121" s="30">
        <f t="shared" si="11"/>
        <v>0.11935330699126021</v>
      </c>
      <c r="Q121" s="19">
        <f t="shared" ref="Q121:Q152" si="12">N121*$C$14+O121*$D$14</f>
        <v>2.9868500000000006E-2</v>
      </c>
      <c r="S121" s="25"/>
      <c r="T121" s="25"/>
    </row>
    <row r="122" spans="14:20" x14ac:dyDescent="0.35">
      <c r="N122" s="25">
        <v>0.94</v>
      </c>
      <c r="O122" s="25">
        <f t="shared" si="10"/>
        <v>6.0000000000000053E-2</v>
      </c>
      <c r="P122" s="30">
        <f t="shared" si="11"/>
        <v>0.12148963823074584</v>
      </c>
      <c r="Q122" s="19">
        <f t="shared" si="12"/>
        <v>3.0155750000000002E-2</v>
      </c>
      <c r="S122" s="25"/>
      <c r="T122" s="25"/>
    </row>
    <row r="123" spans="14:20" x14ac:dyDescent="0.35">
      <c r="N123" s="25">
        <v>0.96</v>
      </c>
      <c r="O123" s="25">
        <f t="shared" si="10"/>
        <v>4.0000000000000036E-2</v>
      </c>
      <c r="P123" s="30">
        <f t="shared" si="11"/>
        <v>0.12362934546053377</v>
      </c>
      <c r="Q123" s="19">
        <f t="shared" si="12"/>
        <v>3.0443000000000005E-2</v>
      </c>
      <c r="S123" s="25"/>
      <c r="T123" s="25"/>
    </row>
    <row r="124" spans="14:20" x14ac:dyDescent="0.35">
      <c r="N124" s="25">
        <v>0.98</v>
      </c>
      <c r="O124" s="25">
        <f t="shared" si="10"/>
        <v>2.0000000000000018E-2</v>
      </c>
      <c r="P124" s="30">
        <f t="shared" si="11"/>
        <v>0.12577225637809597</v>
      </c>
      <c r="Q124" s="19">
        <f t="shared" si="12"/>
        <v>3.0730250000000001E-2</v>
      </c>
      <c r="S124" s="25"/>
      <c r="T124" s="25"/>
    </row>
    <row r="125" spans="14:20" x14ac:dyDescent="0.35">
      <c r="N125" s="25">
        <v>1</v>
      </c>
      <c r="O125" s="25">
        <f t="shared" si="10"/>
        <v>0</v>
      </c>
      <c r="P125" s="30">
        <f t="shared" si="11"/>
        <v>0.12791820997711781</v>
      </c>
      <c r="Q125" s="19">
        <f t="shared" si="12"/>
        <v>3.1017500000000003E-2</v>
      </c>
      <c r="S125" s="25"/>
      <c r="T125" s="25"/>
    </row>
    <row r="126" spans="14:20" x14ac:dyDescent="0.35">
      <c r="N126" s="25">
        <v>1.02</v>
      </c>
      <c r="O126" s="25">
        <f t="shared" si="10"/>
        <v>-2.0000000000000018E-2</v>
      </c>
      <c r="P126" s="30">
        <f t="shared" si="11"/>
        <v>0.13006705565567903</v>
      </c>
      <c r="Q126" s="19">
        <f t="shared" si="12"/>
        <v>3.1304749999999999E-2</v>
      </c>
      <c r="S126" s="25"/>
      <c r="T126" s="25"/>
    </row>
    <row r="127" spans="14:20" x14ac:dyDescent="0.35">
      <c r="N127" s="25">
        <v>1.04</v>
      </c>
      <c r="O127" s="25">
        <f t="shared" si="10"/>
        <v>-4.0000000000000036E-2</v>
      </c>
      <c r="P127" s="30">
        <f t="shared" si="11"/>
        <v>0.13221865240577824</v>
      </c>
      <c r="Q127" s="19">
        <f t="shared" si="12"/>
        <v>3.1592000000000009E-2</v>
      </c>
      <c r="S127" s="25"/>
      <c r="T127" s="25"/>
    </row>
    <row r="128" spans="14:20" x14ac:dyDescent="0.35">
      <c r="N128" s="25">
        <v>1.06</v>
      </c>
      <c r="O128" s="25">
        <f t="shared" si="10"/>
        <v>-6.0000000000000053E-2</v>
      </c>
      <c r="P128" s="30">
        <f t="shared" si="11"/>
        <v>0.13437286807587873</v>
      </c>
      <c r="Q128" s="19">
        <f t="shared" si="12"/>
        <v>3.1879250000000005E-2</v>
      </c>
      <c r="S128" s="25"/>
      <c r="T128" s="25"/>
    </row>
    <row r="129" spans="14:20" x14ac:dyDescent="0.35">
      <c r="N129" s="25">
        <v>1.08</v>
      </c>
      <c r="O129" s="25">
        <f t="shared" si="10"/>
        <v>-8.0000000000000071E-2</v>
      </c>
      <c r="P129" s="30">
        <f t="shared" si="11"/>
        <v>0.1365295786990863</v>
      </c>
      <c r="Q129" s="19">
        <f t="shared" si="12"/>
        <v>3.2166500000000001E-2</v>
      </c>
      <c r="S129" s="25"/>
      <c r="T129" s="25"/>
    </row>
    <row r="130" spans="14:20" x14ac:dyDescent="0.35">
      <c r="N130" s="25">
        <v>1.1000000000000001</v>
      </c>
      <c r="O130" s="25">
        <f t="shared" si="10"/>
        <v>-0.10000000000000009</v>
      </c>
      <c r="P130" s="30">
        <f t="shared" si="11"/>
        <v>0.13868866788039139</v>
      </c>
      <c r="Q130" s="19">
        <f t="shared" si="12"/>
        <v>3.2453750000000003E-2</v>
      </c>
      <c r="S130" s="25"/>
      <c r="T130" s="25"/>
    </row>
    <row r="131" spans="14:20" x14ac:dyDescent="0.35">
      <c r="N131" s="25">
        <v>1.1200000000000001</v>
      </c>
      <c r="O131" s="25">
        <f t="shared" si="10"/>
        <v>-0.12000000000000011</v>
      </c>
      <c r="P131" s="30">
        <f t="shared" si="11"/>
        <v>0.14085002623712928</v>
      </c>
      <c r="Q131" s="19">
        <f t="shared" si="12"/>
        <v>3.2741000000000006E-2</v>
      </c>
      <c r="S131" s="25"/>
      <c r="T131" s="25"/>
    </row>
    <row r="132" spans="14:20" x14ac:dyDescent="0.35">
      <c r="N132" s="25">
        <v>1.1399999999999999</v>
      </c>
      <c r="O132" s="25">
        <f t="shared" si="10"/>
        <v>-0.1399999999999999</v>
      </c>
      <c r="P132" s="30">
        <f t="shared" si="11"/>
        <v>0.14301355088745088</v>
      </c>
      <c r="Q132" s="19">
        <f t="shared" si="12"/>
        <v>3.3028250000000002E-2</v>
      </c>
      <c r="S132" s="25"/>
      <c r="T132" s="25"/>
    </row>
    <row r="133" spans="14:20" x14ac:dyDescent="0.35">
      <c r="N133" s="25">
        <v>1.1599999999999999</v>
      </c>
      <c r="O133" s="25">
        <f t="shared" si="10"/>
        <v>-0.15999999999999992</v>
      </c>
      <c r="P133" s="30">
        <f t="shared" si="11"/>
        <v>0.14517914498215645</v>
      </c>
      <c r="Q133" s="19">
        <f t="shared" si="12"/>
        <v>3.3315499999999998E-2</v>
      </c>
      <c r="S133" s="25"/>
      <c r="T133" s="25"/>
    </row>
    <row r="134" spans="14:20" x14ac:dyDescent="0.35">
      <c r="N134" s="25">
        <v>1.18</v>
      </c>
      <c r="O134" s="25">
        <f t="shared" si="10"/>
        <v>-0.17999999999999994</v>
      </c>
      <c r="P134" s="30">
        <f t="shared" si="11"/>
        <v>0.1473467172757422</v>
      </c>
      <c r="Q134" s="19">
        <f t="shared" si="12"/>
        <v>3.3602750000000008E-2</v>
      </c>
      <c r="S134" s="25"/>
      <c r="T134" s="25"/>
    </row>
    <row r="135" spans="14:20" x14ac:dyDescent="0.35">
      <c r="N135" s="25">
        <v>1.2</v>
      </c>
      <c r="O135" s="25">
        <f t="shared" si="10"/>
        <v>-0.19999999999999996</v>
      </c>
      <c r="P135" s="30">
        <f t="shared" si="11"/>
        <v>0.14951618173294826</v>
      </c>
      <c r="Q135" s="19">
        <f t="shared" si="12"/>
        <v>3.3890000000000003E-2</v>
      </c>
      <c r="S135" s="25"/>
      <c r="T135" s="25"/>
    </row>
    <row r="136" spans="14:20" x14ac:dyDescent="0.35">
      <c r="N136" s="25">
        <v>1.22</v>
      </c>
      <c r="O136" s="25">
        <f t="shared" si="10"/>
        <v>-0.21999999999999997</v>
      </c>
      <c r="P136" s="30">
        <f t="shared" si="11"/>
        <v>0.15168745716748466</v>
      </c>
      <c r="Q136" s="19">
        <f t="shared" si="12"/>
        <v>3.4177249999999999E-2</v>
      </c>
      <c r="S136" s="25"/>
      <c r="T136" s="25"/>
    </row>
    <row r="137" spans="14:20" x14ac:dyDescent="0.35">
      <c r="N137" s="25">
        <v>1.24</v>
      </c>
      <c r="O137" s="25">
        <f t="shared" si="10"/>
        <v>-0.24</v>
      </c>
      <c r="P137" s="30">
        <f t="shared" si="11"/>
        <v>0.15386046690995708</v>
      </c>
      <c r="Q137" s="19">
        <f t="shared" si="12"/>
        <v>3.4464500000000002E-2</v>
      </c>
      <c r="S137" s="25"/>
      <c r="T137" s="25"/>
    </row>
    <row r="138" spans="14:20" x14ac:dyDescent="0.35">
      <c r="N138" s="25">
        <v>1.26</v>
      </c>
      <c r="O138" s="25">
        <f t="shared" si="10"/>
        <v>-0.26</v>
      </c>
      <c r="P138" s="30">
        <f t="shared" si="11"/>
        <v>0.15603513850231782</v>
      </c>
      <c r="Q138" s="19">
        <f t="shared" si="12"/>
        <v>3.4751750000000005E-2</v>
      </c>
      <c r="S138" s="25"/>
      <c r="T138" s="25"/>
    </row>
    <row r="139" spans="14:20" x14ac:dyDescent="0.35">
      <c r="N139" s="25">
        <v>1.28</v>
      </c>
      <c r="O139" s="25">
        <f t="shared" si="10"/>
        <v>-0.28000000000000003</v>
      </c>
      <c r="P139" s="30">
        <f t="shared" si="11"/>
        <v>0.15821140341644152</v>
      </c>
      <c r="Q139" s="19">
        <f t="shared" si="12"/>
        <v>3.5039000000000001E-2</v>
      </c>
      <c r="S139" s="25"/>
      <c r="T139" s="25"/>
    </row>
    <row r="140" spans="14:20" x14ac:dyDescent="0.35">
      <c r="N140" s="25">
        <v>1.3</v>
      </c>
      <c r="O140" s="25">
        <f t="shared" si="10"/>
        <v>-0.30000000000000004</v>
      </c>
      <c r="P140" s="30">
        <f t="shared" si="11"/>
        <v>0.16038919679466415</v>
      </c>
      <c r="Q140" s="19">
        <f t="shared" si="12"/>
        <v>3.5326250000000003E-2</v>
      </c>
      <c r="S140" s="25"/>
      <c r="T140" s="25"/>
    </row>
    <row r="141" spans="14:20" x14ac:dyDescent="0.35">
      <c r="N141" s="25">
        <v>1.32</v>
      </c>
      <c r="O141" s="25">
        <f t="shared" si="10"/>
        <v>-0.32000000000000006</v>
      </c>
      <c r="P141" s="30">
        <f t="shared" si="11"/>
        <v>0.16256845721033958</v>
      </c>
      <c r="Q141" s="19">
        <f t="shared" si="12"/>
        <v>3.5613499999999999E-2</v>
      </c>
      <c r="S141" s="25"/>
      <c r="T141" s="25"/>
    </row>
    <row r="142" spans="14:20" x14ac:dyDescent="0.35">
      <c r="N142" s="25">
        <v>1.34</v>
      </c>
      <c r="O142" s="25">
        <f t="shared" si="10"/>
        <v>-0.34000000000000008</v>
      </c>
      <c r="P142" s="30">
        <f t="shared" si="11"/>
        <v>0.16474912644665982</v>
      </c>
      <c r="Q142" s="19">
        <f t="shared" si="12"/>
        <v>3.5900750000000009E-2</v>
      </c>
      <c r="S142" s="25"/>
      <c r="T142" s="25"/>
    </row>
    <row r="143" spans="14:20" x14ac:dyDescent="0.35">
      <c r="N143" s="25">
        <v>1.36</v>
      </c>
      <c r="O143" s="25">
        <f t="shared" si="10"/>
        <v>-0.3600000000000001</v>
      </c>
      <c r="P143" s="30">
        <f t="shared" si="11"/>
        <v>0.1669311492921558</v>
      </c>
      <c r="Q143" s="19">
        <f t="shared" si="12"/>
        <v>3.6188000000000005E-2</v>
      </c>
      <c r="S143" s="25"/>
      <c r="T143" s="25"/>
    </row>
    <row r="144" spans="14:20" x14ac:dyDescent="0.35">
      <c r="N144" s="25">
        <v>1.38</v>
      </c>
      <c r="O144" s="25">
        <f t="shared" si="10"/>
        <v>-0.37999999999999989</v>
      </c>
      <c r="P144" s="30">
        <f t="shared" si="11"/>
        <v>0.16911447335144764</v>
      </c>
      <c r="Q144" s="19">
        <f t="shared" si="12"/>
        <v>3.6475250000000001E-2</v>
      </c>
      <c r="S144" s="25"/>
      <c r="T144" s="25"/>
    </row>
    <row r="145" spans="14:20" x14ac:dyDescent="0.35">
      <c r="N145" s="25">
        <v>1.4</v>
      </c>
      <c r="O145" s="25">
        <f t="shared" si="10"/>
        <v>-0.39999999999999991</v>
      </c>
      <c r="P145" s="30">
        <f t="shared" si="11"/>
        <v>0.1712990488699514</v>
      </c>
      <c r="Q145" s="19">
        <f t="shared" si="12"/>
        <v>3.6762500000000004E-2</v>
      </c>
      <c r="S145" s="25"/>
      <c r="T145" s="25"/>
    </row>
    <row r="146" spans="14:20" x14ac:dyDescent="0.35">
      <c r="N146" s="25">
        <v>1.42</v>
      </c>
      <c r="O146" s="25">
        <f t="shared" si="10"/>
        <v>-0.41999999999999993</v>
      </c>
      <c r="P146" s="30">
        <f t="shared" si="11"/>
        <v>0.17348482857136963</v>
      </c>
      <c r="Q146" s="19">
        <f t="shared" si="12"/>
        <v>3.7049750000000006E-2</v>
      </c>
      <c r="S146" s="25"/>
      <c r="T146" s="25"/>
    </row>
    <row r="147" spans="14:20" x14ac:dyDescent="0.35">
      <c r="N147" s="25">
        <v>1.44</v>
      </c>
      <c r="O147" s="25">
        <f t="shared" si="10"/>
        <v>-0.43999999999999995</v>
      </c>
      <c r="P147" s="30">
        <f t="shared" si="11"/>
        <v>0.17567176750690477</v>
      </c>
      <c r="Q147" s="19">
        <f t="shared" si="12"/>
        <v>3.7337000000000002E-2</v>
      </c>
      <c r="S147" s="25"/>
      <c r="T147" s="25"/>
    </row>
    <row r="148" spans="14:20" x14ac:dyDescent="0.35">
      <c r="N148" s="25">
        <v>1.46</v>
      </c>
      <c r="O148" s="25">
        <f t="shared" si="10"/>
        <v>-0.45999999999999996</v>
      </c>
      <c r="P148" s="30">
        <f t="shared" si="11"/>
        <v>0.1778598229152315</v>
      </c>
      <c r="Q148" s="19">
        <f t="shared" si="12"/>
        <v>3.7624249999999998E-2</v>
      </c>
      <c r="S148" s="25"/>
      <c r="T148" s="25"/>
    </row>
    <row r="149" spans="14:20" x14ac:dyDescent="0.35">
      <c r="N149" s="25">
        <v>1.48</v>
      </c>
      <c r="O149" s="25">
        <f t="shared" si="10"/>
        <v>-0.48</v>
      </c>
      <c r="P149" s="30">
        <f t="shared" si="11"/>
        <v>0.18004895409235236</v>
      </c>
      <c r="Q149" s="19">
        <f t="shared" si="12"/>
        <v>3.7911500000000008E-2</v>
      </c>
      <c r="S149" s="25"/>
      <c r="T149" s="25"/>
    </row>
    <row r="150" spans="14:20" x14ac:dyDescent="0.35">
      <c r="N150" s="25">
        <v>1.5</v>
      </c>
      <c r="O150" s="25">
        <f t="shared" si="10"/>
        <v>-0.5</v>
      </c>
      <c r="P150" s="30">
        <f t="shared" si="11"/>
        <v>0.18223912227054187</v>
      </c>
      <c r="Q150" s="19">
        <f t="shared" si="12"/>
        <v>3.8198750000000004E-2</v>
      </c>
      <c r="S150" s="25"/>
      <c r="T150" s="25"/>
    </row>
    <row r="151" spans="14:20" x14ac:dyDescent="0.35">
      <c r="N151" s="25">
        <v>1.52</v>
      </c>
      <c r="O151" s="25">
        <f t="shared" si="10"/>
        <v>-0.52</v>
      </c>
      <c r="P151" s="30">
        <f t="shared" si="11"/>
        <v>0.18443029050565418</v>
      </c>
      <c r="Q151" s="19">
        <f t="shared" si="12"/>
        <v>3.8485999999999999E-2</v>
      </c>
      <c r="S151" s="25"/>
      <c r="T151" s="25"/>
    </row>
    <row r="152" spans="14:20" x14ac:dyDescent="0.35">
      <c r="N152" s="25">
        <v>1.54</v>
      </c>
      <c r="O152" s="25">
        <f t="shared" si="10"/>
        <v>-0.54</v>
      </c>
      <c r="P152" s="30">
        <f t="shared" si="11"/>
        <v>0.18662242357213538</v>
      </c>
      <c r="Q152" s="19">
        <f t="shared" si="12"/>
        <v>3.8773250000000009E-2</v>
      </c>
      <c r="S152" s="25"/>
      <c r="T152" s="25"/>
    </row>
    <row r="153" spans="14:20" x14ac:dyDescent="0.35">
      <c r="N153" s="25">
        <v>1.56</v>
      </c>
      <c r="O153" s="25">
        <f t="shared" si="10"/>
        <v>-0.56000000000000005</v>
      </c>
      <c r="P153" s="30">
        <f t="shared" si="11"/>
        <v>0.18881548786513783</v>
      </c>
      <c r="Q153" s="19">
        <f t="shared" ref="Q153:Q175" si="13">N153*$C$14+O153*$D$14</f>
        <v>3.9060500000000005E-2</v>
      </c>
      <c r="S153" s="25"/>
      <c r="T153" s="25"/>
    </row>
    <row r="154" spans="14:20" x14ac:dyDescent="0.35">
      <c r="N154" s="25">
        <v>1.58</v>
      </c>
      <c r="O154" s="25">
        <f t="shared" ref="O154:O175" si="14">1-N154</f>
        <v>-0.58000000000000007</v>
      </c>
      <c r="P154" s="30">
        <f t="shared" ref="P154:P175" si="15">SQRT((N154*$C$15)^2+(O154*$D$15)^2+2*N154*O154*$C$16)</f>
        <v>0.19100945130918917</v>
      </c>
      <c r="Q154" s="19">
        <f t="shared" si="13"/>
        <v>3.9347750000000001E-2</v>
      </c>
      <c r="S154" s="25"/>
      <c r="T154" s="25"/>
    </row>
    <row r="155" spans="14:20" x14ac:dyDescent="0.35">
      <c r="N155" s="25">
        <v>1.6</v>
      </c>
      <c r="O155" s="25">
        <f t="shared" si="14"/>
        <v>-0.60000000000000009</v>
      </c>
      <c r="P155" s="30">
        <f t="shared" si="15"/>
        <v>0.193204283272913</v>
      </c>
      <c r="Q155" s="19">
        <f t="shared" si="13"/>
        <v>3.9635000000000004E-2</v>
      </c>
      <c r="S155" s="25"/>
      <c r="T155" s="25"/>
    </row>
    <row r="156" spans="14:20" x14ac:dyDescent="0.35">
      <c r="N156" s="25">
        <v>1.62</v>
      </c>
      <c r="O156" s="25">
        <f t="shared" si="14"/>
        <v>-0.62000000000000011</v>
      </c>
      <c r="P156" s="30">
        <f t="shared" si="15"/>
        <v>0.1953999544893435</v>
      </c>
      <c r="Q156" s="19">
        <f t="shared" si="13"/>
        <v>3.9922250000000006E-2</v>
      </c>
      <c r="S156" s="25"/>
      <c r="T156" s="25"/>
    </row>
    <row r="157" spans="14:20" x14ac:dyDescent="0.35">
      <c r="N157" s="25">
        <v>1.64</v>
      </c>
      <c r="O157" s="25">
        <f t="shared" si="14"/>
        <v>-0.6399999999999999</v>
      </c>
      <c r="P157" s="30">
        <f t="shared" si="15"/>
        <v>0.19759643698141424</v>
      </c>
      <c r="Q157" s="19">
        <f t="shared" si="13"/>
        <v>4.0209500000000002E-2</v>
      </c>
      <c r="S157" s="25"/>
      <c r="T157" s="25"/>
    </row>
    <row r="158" spans="14:20" x14ac:dyDescent="0.35">
      <c r="N158" s="25">
        <v>1.66</v>
      </c>
      <c r="O158" s="25">
        <f t="shared" si="14"/>
        <v>-0.65999999999999992</v>
      </c>
      <c r="P158" s="30">
        <f t="shared" si="15"/>
        <v>0.1997937039922367</v>
      </c>
      <c r="Q158" s="19">
        <f t="shared" si="13"/>
        <v>4.0496749999999998E-2</v>
      </c>
      <c r="S158" s="25"/>
      <c r="T158" s="25"/>
    </row>
    <row r="159" spans="14:20" x14ac:dyDescent="0.35">
      <c r="N159" s="25">
        <v>1.68</v>
      </c>
      <c r="O159" s="25">
        <f t="shared" si="14"/>
        <v>-0.67999999999999994</v>
      </c>
      <c r="P159" s="30">
        <f t="shared" si="15"/>
        <v>0.20199172991981626</v>
      </c>
      <c r="Q159" s="19">
        <f t="shared" si="13"/>
        <v>4.0784000000000008E-2</v>
      </c>
      <c r="S159" s="25"/>
      <c r="T159" s="25"/>
    </row>
    <row r="160" spans="14:20" x14ac:dyDescent="0.35">
      <c r="N160" s="25">
        <v>1.7</v>
      </c>
      <c r="O160" s="25">
        <f t="shared" si="14"/>
        <v>-0.7</v>
      </c>
      <c r="P160" s="30">
        <f t="shared" si="15"/>
        <v>0.20419049025588212</v>
      </c>
      <c r="Q160" s="19">
        <f t="shared" si="13"/>
        <v>4.1071250000000004E-2</v>
      </c>
      <c r="S160" s="25"/>
      <c r="T160" s="25"/>
    </row>
    <row r="161" spans="14:20" x14ac:dyDescent="0.35">
      <c r="N161" s="25">
        <v>1.72</v>
      </c>
      <c r="O161" s="25">
        <f t="shared" si="14"/>
        <v>-0.72</v>
      </c>
      <c r="P161" s="30">
        <f t="shared" si="15"/>
        <v>0.20638996152853464</v>
      </c>
      <c r="Q161" s="19">
        <f t="shared" si="13"/>
        <v>4.1358500000000006E-2</v>
      </c>
      <c r="S161" s="25"/>
      <c r="T161" s="25"/>
    </row>
    <row r="162" spans="14:20" x14ac:dyDescent="0.35">
      <c r="N162" s="25">
        <v>1.74</v>
      </c>
      <c r="O162" s="25">
        <f t="shared" si="14"/>
        <v>-0.74</v>
      </c>
      <c r="P162" s="30">
        <f t="shared" si="15"/>
        <v>0.20859012124843668</v>
      </c>
      <c r="Q162" s="19">
        <f t="shared" si="13"/>
        <v>4.1645750000000002E-2</v>
      </c>
      <c r="S162" s="25"/>
      <c r="T162" s="25"/>
    </row>
    <row r="163" spans="14:20" x14ac:dyDescent="0.35">
      <c r="N163" s="25">
        <v>1.76</v>
      </c>
      <c r="O163" s="25">
        <f t="shared" si="14"/>
        <v>-0.76</v>
      </c>
      <c r="P163" s="30">
        <f t="shared" si="15"/>
        <v>0.21079094785829872</v>
      </c>
      <c r="Q163" s="19">
        <f t="shared" si="13"/>
        <v>4.1933000000000005E-2</v>
      </c>
      <c r="S163" s="25"/>
      <c r="T163" s="25"/>
    </row>
    <row r="164" spans="14:20" x14ac:dyDescent="0.35">
      <c r="N164" s="25">
        <v>1.78</v>
      </c>
      <c r="O164" s="25">
        <f t="shared" si="14"/>
        <v>-0.78</v>
      </c>
      <c r="P164" s="30">
        <f t="shared" si="15"/>
        <v>0.21299242068542609</v>
      </c>
      <c r="Q164" s="19">
        <f t="shared" si="13"/>
        <v>4.2220250000000001E-2</v>
      </c>
      <c r="S164" s="25"/>
      <c r="T164" s="25"/>
    </row>
    <row r="165" spans="14:20" x14ac:dyDescent="0.35">
      <c r="N165" s="25">
        <v>1.8</v>
      </c>
      <c r="O165" s="25">
        <f t="shared" si="14"/>
        <v>-0.8</v>
      </c>
      <c r="P165" s="30">
        <f t="shared" si="15"/>
        <v>0.21519451989711541</v>
      </c>
      <c r="Q165" s="19">
        <f t="shared" si="13"/>
        <v>4.2507500000000004E-2</v>
      </c>
      <c r="S165" s="25"/>
      <c r="T165" s="25"/>
    </row>
    <row r="166" spans="14:20" x14ac:dyDescent="0.35">
      <c r="N166" s="25">
        <v>1.82</v>
      </c>
      <c r="O166" s="25">
        <f t="shared" si="14"/>
        <v>-0.82000000000000006</v>
      </c>
      <c r="P166" s="30">
        <f t="shared" si="15"/>
        <v>0.2173972264587051</v>
      </c>
      <c r="Q166" s="19">
        <f t="shared" si="13"/>
        <v>4.2794749999999999E-2</v>
      </c>
      <c r="S166" s="25"/>
      <c r="T166" s="25"/>
    </row>
    <row r="167" spans="14:20" x14ac:dyDescent="0.35">
      <c r="N167" s="25">
        <v>1.84</v>
      </c>
      <c r="O167" s="25">
        <f t="shared" si="14"/>
        <v>-0.84000000000000008</v>
      </c>
      <c r="P167" s="30">
        <f t="shared" si="15"/>
        <v>0.21960052209409706</v>
      </c>
      <c r="Q167" s="19">
        <f t="shared" si="13"/>
        <v>4.3082000000000009E-2</v>
      </c>
      <c r="S167" s="25"/>
      <c r="T167" s="25"/>
    </row>
    <row r="168" spans="14:20" x14ac:dyDescent="0.35">
      <c r="N168" s="25">
        <v>1.86</v>
      </c>
      <c r="O168" s="25">
        <f t="shared" si="14"/>
        <v>-0.8600000000000001</v>
      </c>
      <c r="P168" s="30">
        <f t="shared" si="15"/>
        <v>0.22180438924858434</v>
      </c>
      <c r="Q168" s="19">
        <f t="shared" si="13"/>
        <v>4.3369250000000005E-2</v>
      </c>
      <c r="S168" s="25"/>
      <c r="T168" s="25"/>
    </row>
    <row r="169" spans="14:20" x14ac:dyDescent="0.35">
      <c r="N169" s="25">
        <v>1.88</v>
      </c>
      <c r="O169" s="25">
        <f t="shared" si="14"/>
        <v>-0.87999999999999989</v>
      </c>
      <c r="P169" s="30">
        <f t="shared" si="15"/>
        <v>0.22400881105382886</v>
      </c>
      <c r="Q169" s="19">
        <f t="shared" si="13"/>
        <v>4.3656500000000001E-2</v>
      </c>
      <c r="S169" s="25"/>
      <c r="T169" s="25"/>
    </row>
    <row r="170" spans="14:20" x14ac:dyDescent="0.35">
      <c r="N170" s="25">
        <v>1.9</v>
      </c>
      <c r="O170" s="25">
        <f t="shared" si="14"/>
        <v>-0.89999999999999991</v>
      </c>
      <c r="P170" s="30">
        <f t="shared" si="15"/>
        <v>0.22621377129484738</v>
      </c>
      <c r="Q170" s="19">
        <f t="shared" si="13"/>
        <v>4.3943750000000004E-2</v>
      </c>
      <c r="S170" s="25"/>
      <c r="T170" s="25"/>
    </row>
    <row r="171" spans="14:20" x14ac:dyDescent="0.35">
      <c r="N171" s="25">
        <v>1.92</v>
      </c>
      <c r="O171" s="25">
        <f t="shared" si="14"/>
        <v>-0.91999999999999993</v>
      </c>
      <c r="P171" s="30">
        <f t="shared" si="15"/>
        <v>0.22841925437887237</v>
      </c>
      <c r="Q171" s="19">
        <f t="shared" si="13"/>
        <v>4.4231000000000006E-2</v>
      </c>
      <c r="S171" s="25"/>
      <c r="T171" s="25"/>
    </row>
    <row r="172" spans="14:20" x14ac:dyDescent="0.35">
      <c r="N172" s="25">
        <v>1.94</v>
      </c>
      <c r="O172" s="25">
        <f t="shared" si="14"/>
        <v>-0.94</v>
      </c>
      <c r="P172" s="30">
        <f t="shared" si="15"/>
        <v>0.23062524530596712</v>
      </c>
      <c r="Q172" s="19">
        <f t="shared" si="13"/>
        <v>4.4518250000000002E-2</v>
      </c>
      <c r="S172" s="25"/>
      <c r="T172" s="25"/>
    </row>
    <row r="173" spans="14:20" x14ac:dyDescent="0.35">
      <c r="N173" s="25">
        <v>1.96</v>
      </c>
      <c r="O173" s="25">
        <f t="shared" si="14"/>
        <v>-0.96</v>
      </c>
      <c r="P173" s="30">
        <f t="shared" si="15"/>
        <v>0.23283172964127977</v>
      </c>
      <c r="Q173" s="19">
        <f t="shared" si="13"/>
        <v>4.4805499999999998E-2</v>
      </c>
      <c r="S173" s="25"/>
      <c r="T173" s="25"/>
    </row>
    <row r="174" spans="14:20" x14ac:dyDescent="0.35">
      <c r="N174" s="25">
        <v>1.98</v>
      </c>
      <c r="O174" s="25">
        <f t="shared" si="14"/>
        <v>-0.98</v>
      </c>
      <c r="P174" s="30">
        <f t="shared" si="15"/>
        <v>0.2350386934888328</v>
      </c>
      <c r="Q174" s="19">
        <f t="shared" si="13"/>
        <v>4.5092750000000001E-2</v>
      </c>
      <c r="S174" s="25"/>
      <c r="T174" s="25"/>
    </row>
    <row r="175" spans="14:20" x14ac:dyDescent="0.35">
      <c r="N175" s="25">
        <v>2</v>
      </c>
      <c r="O175" s="25">
        <f t="shared" si="14"/>
        <v>-1</v>
      </c>
      <c r="P175" s="30">
        <f t="shared" si="15"/>
        <v>0.2372461234667492</v>
      </c>
      <c r="Q175" s="19">
        <f t="shared" si="13"/>
        <v>4.5380000000000004E-2</v>
      </c>
      <c r="S175" s="25"/>
      <c r="T175" s="25"/>
    </row>
    <row r="177" spans="5:5" x14ac:dyDescent="0.35">
      <c r="E177" s="19"/>
    </row>
  </sheetData>
  <pageMargins left="0.7" right="0.7" top="0.75" bottom="0.75" header="0.3" footer="0.3"/>
  <pageSetup paperSize="9" orientation="portrait" r:id="rId1"/>
  <headerFooter>
    <oddHeader>&amp;C&amp;"Calibri"&amp;12&amp;KEEDC00RMIT Classification: Trusted&amp;1#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 data</vt:lpstr>
      <vt:lpstr>Question 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Bao Huy</dc:creator>
  <cp:lastModifiedBy>Hung Vo</cp:lastModifiedBy>
  <dcterms:created xsi:type="dcterms:W3CDTF">2023-10-11T09:34:30Z</dcterms:created>
  <dcterms:modified xsi:type="dcterms:W3CDTF">2024-08-28T08:48:21Z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2023-10-11T09:35:35Z</vt:lpwstr>
  </property>
  <property fmtid="{D5CDD505-2E9C-101B-9397-08002B2CF9AE}" pid="4" name="MSIP_Label_8c3d088b-6243-4963-a2e2-8b321ab7f8fc_Method">
    <vt:lpwstr>Standard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f6cf7263-188b-485a-9ac7-a37b2d171604</vt:lpwstr>
  </property>
  <property fmtid="{D5CDD505-2E9C-101B-9397-08002B2CF9AE}" pid="8" name="MSIP_Label_8c3d088b-6243-4963-a2e2-8b321ab7f8fc_ContentBits">
    <vt:lpwstr>1</vt:lpwstr>
  </property>
</Properties>
</file>